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62b481078b1a2a5c/SELECT/Thesis/Data/Animal_future/AnimalFutureData_Portugal/"/>
    </mc:Choice>
  </mc:AlternateContent>
  <xr:revisionPtr revIDLastSave="0" documentId="114_{A807E140-37CE-4621-A222-DBB0D75A7F49}" xr6:coauthVersionLast="45" xr6:coauthVersionMax="45" xr10:uidLastSave="{00000000-0000-0000-0000-000000000000}"/>
  <bookViews>
    <workbookView xWindow="-110" yWindow="-110" windowWidth="19420" windowHeight="10420" tabRatio="500" activeTab="1" xr2:uid="{00000000-000D-0000-FFFF-FFFF00000000}"/>
  </bookViews>
  <sheets>
    <sheet name="Sheet2" sheetId="4" r:id="rId1"/>
    <sheet name="Main" sheetId="1" r:id="rId2"/>
    <sheet name="Dictionary_Areas" sheetId="2" r:id="rId3"/>
  </sheets>
  <definedNames>
    <definedName name="_xlnm._FilterDatabase" localSheetId="1" hidden="1">Main!$A$1:$D$184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74" i="1" l="1"/>
  <c r="C171" i="1"/>
  <c r="C169" i="1"/>
  <c r="C155" i="1"/>
  <c r="C150" i="1"/>
  <c r="C148" i="1"/>
  <c r="C139" i="1"/>
  <c r="C134" i="1"/>
  <c r="C22" i="1"/>
  <c r="C23" i="1"/>
</calcChain>
</file>

<file path=xl/sharedStrings.xml><?xml version="1.0" encoding="utf-8"?>
<sst xmlns="http://schemas.openxmlformats.org/spreadsheetml/2006/main" count="771" uniqueCount="126">
  <si>
    <t>PT00</t>
  </si>
  <si>
    <t>Corn</t>
  </si>
  <si>
    <t>CornSilage</t>
  </si>
  <si>
    <t>Hay</t>
  </si>
  <si>
    <t>PermanentGrassland</t>
  </si>
  <si>
    <t>PT01</t>
  </si>
  <si>
    <t>Biologic Barley</t>
  </si>
  <si>
    <t>Natural permanent pasture 1</t>
  </si>
  <si>
    <t>Natural permanent pasture 2</t>
  </si>
  <si>
    <t>Sorghum</t>
  </si>
  <si>
    <t>Natural permanent pasture</t>
  </si>
  <si>
    <t>Natural temporary pasture</t>
  </si>
  <si>
    <t>Sown temporary pasture</t>
  </si>
  <si>
    <t>PT02</t>
  </si>
  <si>
    <t>PT03</t>
  </si>
  <si>
    <t>PT04</t>
  </si>
  <si>
    <t>PT05</t>
  </si>
  <si>
    <t>Sown permanent pasture 1</t>
  </si>
  <si>
    <t>Sown permanent pasture 2</t>
  </si>
  <si>
    <t>Sown permanent pasture 3</t>
  </si>
  <si>
    <t>Sown permanent pasture 4</t>
  </si>
  <si>
    <t>Sown permanent pasture 5</t>
  </si>
  <si>
    <t>Sown permanent pasture 6</t>
  </si>
  <si>
    <t>Sown permanent pasture 7</t>
  </si>
  <si>
    <t>Sown permanent pasture 8</t>
  </si>
  <si>
    <t>Corn - grain</t>
  </si>
  <si>
    <t>Lolium</t>
  </si>
  <si>
    <t>Sown permanent pasture</t>
  </si>
  <si>
    <t>Corn silage</t>
  </si>
  <si>
    <t>PT06</t>
  </si>
  <si>
    <t>Melon</t>
  </si>
  <si>
    <t>Pumpkin</t>
  </si>
  <si>
    <t>Vicia</t>
  </si>
  <si>
    <t>Olive</t>
  </si>
  <si>
    <t>Natural permanent pasture 3</t>
  </si>
  <si>
    <t>Biologic oat</t>
  </si>
  <si>
    <t>PT07</t>
  </si>
  <si>
    <t>Hay 1</t>
  </si>
  <si>
    <t>Hay 2</t>
  </si>
  <si>
    <t>PT08</t>
  </si>
  <si>
    <t>PT09</t>
  </si>
  <si>
    <t>PT10</t>
  </si>
  <si>
    <t>PT11</t>
  </si>
  <si>
    <t>PT12</t>
  </si>
  <si>
    <t>Barley</t>
  </si>
  <si>
    <t>Natural temporary pasture 1</t>
  </si>
  <si>
    <t>Natural temporary pasture 2</t>
  </si>
  <si>
    <t>Natural temporary pasture 3</t>
  </si>
  <si>
    <t>Natural temporary pasture 4</t>
  </si>
  <si>
    <t>Natural temporary pasture 5</t>
  </si>
  <si>
    <t>Sown permanent  pasture 2</t>
  </si>
  <si>
    <t>Sown permanent pasture 9</t>
  </si>
  <si>
    <t>None</t>
  </si>
  <si>
    <t>PT13</t>
  </si>
  <si>
    <t>PT14</t>
  </si>
  <si>
    <t>PT15</t>
  </si>
  <si>
    <t>PT16</t>
  </si>
  <si>
    <t>PT17</t>
  </si>
  <si>
    <t>Triticale</t>
  </si>
  <si>
    <t>Olive + pasture</t>
  </si>
  <si>
    <t>Olive + pasture 2</t>
  </si>
  <si>
    <t>Mixed sowing (oze, oats, vicia, triticale, lucerne, sainfoin, persian clover)</t>
  </si>
  <si>
    <t>Persian clover</t>
  </si>
  <si>
    <t>Seed propagation</t>
  </si>
  <si>
    <t>Temporary cultures</t>
  </si>
  <si>
    <t>Sowed permanent pasture</t>
  </si>
  <si>
    <t>PT18</t>
  </si>
  <si>
    <t>PT19</t>
  </si>
  <si>
    <t>Permanent natural pastures</t>
  </si>
  <si>
    <t>Hays</t>
  </si>
  <si>
    <t>Natural permanent pastures</t>
  </si>
  <si>
    <t>Sown permanent pastures</t>
  </si>
  <si>
    <t>PT20</t>
  </si>
  <si>
    <t>Cork production and pastures</t>
  </si>
  <si>
    <t>PT21</t>
  </si>
  <si>
    <t>Oat</t>
  </si>
  <si>
    <t>PT22</t>
  </si>
  <si>
    <t>PT23</t>
  </si>
  <si>
    <t>Sown temporary pastures</t>
  </si>
  <si>
    <t>CornSilage + Barley</t>
  </si>
  <si>
    <t>Consociation</t>
  </si>
  <si>
    <t>PT24</t>
  </si>
  <si>
    <t>PT25</t>
  </si>
  <si>
    <t>Peas</t>
  </si>
  <si>
    <t>PT26</t>
  </si>
  <si>
    <t>PT28</t>
  </si>
  <si>
    <t>FARM_ID</t>
  </si>
  <si>
    <t>AREA_ID</t>
  </si>
  <si>
    <t>Surface</t>
  </si>
  <si>
    <t>FractionOfLegumes</t>
  </si>
  <si>
    <t>a</t>
  </si>
  <si>
    <t>b</t>
  </si>
  <si>
    <t>nhi</t>
  </si>
  <si>
    <t>bgn</t>
  </si>
  <si>
    <t>NaN</t>
  </si>
  <si>
    <t>Barley (organic)</t>
  </si>
  <si>
    <t>Oat (organic)</t>
  </si>
  <si>
    <t>PT29</t>
  </si>
  <si>
    <t>PT30</t>
  </si>
  <si>
    <t>Pommegranate</t>
  </si>
  <si>
    <t>PT31</t>
  </si>
  <si>
    <t>Hay silage</t>
  </si>
  <si>
    <t>PT32</t>
  </si>
  <si>
    <t>Hay (irrigated)</t>
  </si>
  <si>
    <t>PT33</t>
  </si>
  <si>
    <t>PT34</t>
  </si>
  <si>
    <t>Lucerne</t>
  </si>
  <si>
    <t>PT35</t>
  </si>
  <si>
    <t>Florest</t>
  </si>
  <si>
    <t>PT36</t>
  </si>
  <si>
    <t>PT37</t>
  </si>
  <si>
    <t>Lolium (grazed)</t>
  </si>
  <si>
    <t>PT38</t>
  </si>
  <si>
    <t>PT39</t>
  </si>
  <si>
    <t>PT40</t>
  </si>
  <si>
    <t>PT41</t>
  </si>
  <si>
    <t>PT42</t>
  </si>
  <si>
    <t>Sown permanent pasture (irrigated)</t>
  </si>
  <si>
    <t>Vineyard</t>
  </si>
  <si>
    <t>PT43</t>
  </si>
  <si>
    <t>Cork + pasture</t>
  </si>
  <si>
    <t>Cork + sown pasture</t>
  </si>
  <si>
    <t>Row Labels</t>
  </si>
  <si>
    <t>(blank)</t>
  </si>
  <si>
    <t>Grand Total</t>
  </si>
  <si>
    <t>Sum of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</si>
</sst>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%"/>
  </numFmts>
  <fonts count="1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charset val="1"/>
    </font>
    <font>
      <sz val="12"/>
      <name val="Calibri"/>
      <family val="2"/>
    </font>
    <font>
      <sz val="10"/>
      <name val="Arial"/>
      <family val="2"/>
      <charset val="1"/>
    </font>
    <font>
      <sz val="11"/>
      <name val="Calibri"/>
      <family val="2"/>
    </font>
    <font>
      <sz val="12"/>
      <color rgb="FF000000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FF00"/>
        <bgColor rgb="FF000000"/>
      </patternFill>
    </fill>
    <fill>
      <patternFill patternType="solid">
        <fgColor rgb="FFFDE9D9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0" fontId="6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10" fillId="0" borderId="0" applyFont="0" applyFill="0" applyBorder="0" applyAlignment="0" applyProtection="0"/>
  </cellStyleXfs>
  <cellXfs count="48">
    <xf numFmtId="0" fontId="0" fillId="0" borderId="0" xfId="0"/>
    <xf numFmtId="0" fontId="0" fillId="2" borderId="0" xfId="0" applyFill="1"/>
    <xf numFmtId="0" fontId="0" fillId="0" borderId="0" xfId="0" applyFill="1"/>
    <xf numFmtId="164" fontId="3" fillId="0" borderId="1" xfId="0" applyNumberFormat="1" applyFont="1" applyBorder="1" applyAlignment="1">
      <alignment horizontal="center"/>
    </xf>
    <xf numFmtId="0" fontId="0" fillId="3" borderId="0" xfId="0" applyFill="1"/>
    <xf numFmtId="4" fontId="5" fillId="0" borderId="0" xfId="7" applyNumberFormat="1" applyFont="1" applyFill="1" applyBorder="1" applyAlignment="1">
      <alignment horizontal="left"/>
    </xf>
    <xf numFmtId="0" fontId="3" fillId="0" borderId="0" xfId="0" applyFont="1" applyBorder="1"/>
    <xf numFmtId="0" fontId="4" fillId="0" borderId="0" xfId="7" applyBorder="1"/>
    <xf numFmtId="0" fontId="4" fillId="0" borderId="0" xfId="7" applyFont="1" applyBorder="1" applyAlignment="1">
      <alignment horizontal="left"/>
    </xf>
    <xf numFmtId="0" fontId="4" fillId="0" borderId="0" xfId="7" applyFont="1" applyBorder="1"/>
    <xf numFmtId="4" fontId="7" fillId="0" borderId="0" xfId="7" applyNumberFormat="1" applyFont="1" applyFill="1" applyBorder="1" applyAlignment="1">
      <alignment horizontal="left"/>
    </xf>
    <xf numFmtId="1" fontId="4" fillId="0" borderId="1" xfId="7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9" fillId="0" borderId="3" xfId="7" applyFont="1" applyBorder="1" applyAlignment="1">
      <alignment horizontal="center"/>
    </xf>
    <xf numFmtId="0" fontId="3" fillId="0" borderId="3" xfId="7" applyFont="1" applyBorder="1" applyAlignment="1">
      <alignment horizontal="center"/>
    </xf>
    <xf numFmtId="4" fontId="3" fillId="0" borderId="3" xfId="7" applyNumberFormat="1" applyFont="1" applyFill="1" applyBorder="1" applyAlignment="1">
      <alignment horizontal="center"/>
    </xf>
    <xf numFmtId="0" fontId="5" fillId="0" borderId="3" xfId="7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4" fontId="5" fillId="0" borderId="3" xfId="7" applyNumberFormat="1" applyFont="1" applyFill="1" applyBorder="1" applyAlignment="1">
      <alignment horizontal="center"/>
    </xf>
    <xf numFmtId="0" fontId="4" fillId="0" borderId="3" xfId="7" applyBorder="1" applyAlignment="1">
      <alignment horizontal="center"/>
    </xf>
    <xf numFmtId="0" fontId="4" fillId="0" borderId="1" xfId="7" applyBorder="1" applyAlignment="1">
      <alignment horizontal="center"/>
    </xf>
    <xf numFmtId="0" fontId="4" fillId="0" borderId="1" xfId="7" applyFill="1" applyBorder="1" applyAlignment="1">
      <alignment horizontal="center"/>
    </xf>
    <xf numFmtId="0" fontId="0" fillId="0" borderId="0" xfId="0" applyFont="1"/>
    <xf numFmtId="164" fontId="9" fillId="0" borderId="1" xfId="7" applyNumberFormat="1" applyFont="1" applyBorder="1" applyAlignment="1">
      <alignment horizontal="center"/>
    </xf>
    <xf numFmtId="164" fontId="9" fillId="4" borderId="1" xfId="8" applyNumberFormat="1" applyFont="1" applyFill="1" applyBorder="1" applyAlignment="1">
      <alignment horizontal="center"/>
    </xf>
    <xf numFmtId="0" fontId="9" fillId="4" borderId="1" xfId="8" applyFont="1" applyFill="1" applyBorder="1" applyAlignment="1">
      <alignment horizontal="center"/>
    </xf>
    <xf numFmtId="0" fontId="9" fillId="0" borderId="1" xfId="7" applyFont="1" applyBorder="1" applyAlignment="1">
      <alignment horizontal="center"/>
    </xf>
    <xf numFmtId="1" fontId="9" fillId="0" borderId="1" xfId="7" applyNumberFormat="1" applyFont="1" applyBorder="1" applyAlignment="1">
      <alignment horizontal="center"/>
    </xf>
    <xf numFmtId="165" fontId="0" fillId="0" borderId="0" xfId="13" applyNumberFormat="1" applyFont="1"/>
    <xf numFmtId="4" fontId="5" fillId="0" borderId="1" xfId="7" applyNumberFormat="1" applyFont="1" applyBorder="1" applyAlignment="1">
      <alignment horizontal="center"/>
    </xf>
    <xf numFmtId="0" fontId="11" fillId="4" borderId="1" xfId="8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8" fillId="5" borderId="6" xfId="0" applyFont="1" applyFill="1" applyBorder="1"/>
    <xf numFmtId="0" fontId="8" fillId="5" borderId="7" xfId="0" applyFont="1" applyFill="1" applyBorder="1"/>
    <xf numFmtId="0" fontId="8" fillId="0" borderId="7" xfId="0" applyFont="1" applyBorder="1"/>
    <xf numFmtId="0" fontId="8" fillId="6" borderId="8" xfId="0" applyFont="1" applyFill="1" applyBorder="1"/>
    <xf numFmtId="164" fontId="9" fillId="0" borderId="1" xfId="8" applyNumberFormat="1" applyFont="1" applyFill="1" applyBorder="1" applyAlignment="1">
      <alignment horizontal="center"/>
    </xf>
    <xf numFmtId="0" fontId="4" fillId="0" borderId="0" xfId="7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4">
    <cellStyle name="Excel Built-in Normal" xfId="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9" builtinId="8" hidden="1"/>
    <cellStyle name="Hyperlink" xfId="11" builtinId="8" hidden="1"/>
    <cellStyle name="Normal" xfId="0" builtinId="0"/>
    <cellStyle name="Percent" xfId="13" builtinId="5"/>
    <cellStyle name="Standard 2" xfId="8" xr:uid="{00000000-0005-0000-0000-00000C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el Santos" refreshedDate="43858.654399074076" createdVersion="6" refreshedVersion="6" minRefreshableVersion="3" recordCount="187" xr:uid="{E9CBBBFF-4120-4B31-AF81-313D7BCB5E0D}">
  <cacheSource type="worksheet">
    <worksheetSource ref="A1:C1048576" sheet="Main"/>
  </cacheSource>
  <cacheFields count="3">
    <cacheField name="FARM_ID" numFmtId="0">
      <sharedItems containsBlank="1" count="44">
        <s v="PT00"/>
        <s v="PT01"/>
        <s v="PT02"/>
        <s v="PT03"/>
        <s v="PT04"/>
        <s v="PT05"/>
        <s v="PT06"/>
        <s v="PT07"/>
        <s v="PT08"/>
        <s v="PT09"/>
        <s v="PT10"/>
        <s v="PT11"/>
        <s v="PT12"/>
        <s v="PT13"/>
        <s v="PT14"/>
        <s v="PT15"/>
        <s v="PT16"/>
        <s v="PT17"/>
        <s v="PT18"/>
        <s v="PT19"/>
        <s v="PT20"/>
        <s v="PT21"/>
        <s v="PT22"/>
        <s v="PT23"/>
        <s v="PT24"/>
        <s v="PT25"/>
        <s v="PT26"/>
        <s v="PT28"/>
        <s v="PT29"/>
        <s v="PT30"/>
        <s v="PT31"/>
        <s v="PT32"/>
        <s v="PT33"/>
        <s v="PT34"/>
        <s v="PT35"/>
        <s v="PT36"/>
        <s v="PT37"/>
        <s v="PT38"/>
        <s v="PT39"/>
        <s v="PT40"/>
        <s v="PT41"/>
        <s v="PT42"/>
        <s v="PT43"/>
        <m/>
      </sharedItems>
    </cacheField>
    <cacheField name="AREA_ID" numFmtId="0">
      <sharedItems containsBlank="1"/>
    </cacheField>
    <cacheField name="Surface" numFmtId="0">
      <sharedItems containsString="0" containsBlank="1" containsNumber="1" minValue="0.02" maxValue="2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x v="0"/>
    <s v="Corn - grain"/>
    <n v="6.2"/>
  </r>
  <r>
    <x v="0"/>
    <s v="CornSilage"/>
    <n v="10"/>
  </r>
  <r>
    <x v="0"/>
    <s v="Hay"/>
    <n v="37.6"/>
  </r>
  <r>
    <x v="0"/>
    <s v="Sown permanent pasture"/>
    <n v="346.2"/>
  </r>
  <r>
    <x v="1"/>
    <s v="Barley (organic)"/>
    <n v="56.1"/>
  </r>
  <r>
    <x v="1"/>
    <s v="Natural permanent pasture 1"/>
    <n v="47.4"/>
  </r>
  <r>
    <x v="1"/>
    <s v="Natural permanent pasture 2"/>
    <n v="13.5"/>
  </r>
  <r>
    <x v="2"/>
    <s v="Natural permanent pasture"/>
    <n v="277"/>
  </r>
  <r>
    <x v="2"/>
    <s v="Natural temporary pasture"/>
    <n v="84"/>
  </r>
  <r>
    <x v="2"/>
    <s v="Sorghum"/>
    <n v="4"/>
  </r>
  <r>
    <x v="2"/>
    <s v="Sown temporary pasture"/>
    <n v="3"/>
  </r>
  <r>
    <x v="3"/>
    <s v="Sown permanent pasture 1"/>
    <n v="41.89"/>
  </r>
  <r>
    <x v="3"/>
    <s v="Sown permanent pasture 2"/>
    <n v="24.69"/>
  </r>
  <r>
    <x v="3"/>
    <s v="Sown permanent pasture 3"/>
    <n v="78.900000000000006"/>
  </r>
  <r>
    <x v="3"/>
    <s v="Sown permanent pasture 4"/>
    <n v="471.31"/>
  </r>
  <r>
    <x v="3"/>
    <s v="Sown permanent pasture 5"/>
    <n v="658.78"/>
  </r>
  <r>
    <x v="3"/>
    <s v="Sown permanent pasture 6"/>
    <n v="733.08"/>
  </r>
  <r>
    <x v="3"/>
    <s v="Sown permanent pasture 7"/>
    <n v="1153.42"/>
  </r>
  <r>
    <x v="3"/>
    <s v="Sown permanent pasture 8"/>
    <n v="288.37"/>
  </r>
  <r>
    <x v="4"/>
    <s v="Corn - grain"/>
    <n v="22.18"/>
  </r>
  <r>
    <x v="4"/>
    <s v="Lolium"/>
    <n v="168.26"/>
  </r>
  <r>
    <x v="4"/>
    <s v="Natural permanent pasture"/>
    <n v="104.51"/>
  </r>
  <r>
    <x v="4"/>
    <s v="Sown permanent pasture"/>
    <n v="55.89"/>
  </r>
  <r>
    <x v="5"/>
    <s v="Natural permanent pasture"/>
    <n v="457.37"/>
  </r>
  <r>
    <x v="6"/>
    <s v="CornSilage"/>
    <n v="12.91"/>
  </r>
  <r>
    <x v="6"/>
    <s v="Natural permanent pasture 1"/>
    <n v="75.900000000000006"/>
  </r>
  <r>
    <x v="6"/>
    <s v="Natural permanent pasture 2"/>
    <n v="47.74"/>
  </r>
  <r>
    <x v="6"/>
    <s v="Sown permanent pasture"/>
    <n v="56.1"/>
  </r>
  <r>
    <x v="7"/>
    <s v="Melon"/>
    <n v="2.85"/>
  </r>
  <r>
    <x v="7"/>
    <s v="Natural permanent pasture 1"/>
    <n v="0.02"/>
  </r>
  <r>
    <x v="7"/>
    <s v="Natural permanent pasture 2"/>
    <n v="38.6"/>
  </r>
  <r>
    <x v="7"/>
    <s v="Natural permanent pasture 3"/>
    <n v="52.18"/>
  </r>
  <r>
    <x v="7"/>
    <s v="Natural temporary pasture"/>
    <n v="53.07"/>
  </r>
  <r>
    <x v="7"/>
    <s v="Oat (organic)"/>
    <n v="21.51"/>
  </r>
  <r>
    <x v="7"/>
    <s v="Olive + pasture"/>
    <n v="5.43"/>
  </r>
  <r>
    <x v="7"/>
    <s v="Pumpkin"/>
    <n v="22.16"/>
  </r>
  <r>
    <x v="7"/>
    <s v="Sown permanent pasture"/>
    <n v="13.08"/>
  </r>
  <r>
    <x v="7"/>
    <s v="Vicia"/>
    <n v="19.18"/>
  </r>
  <r>
    <x v="8"/>
    <s v="Hay 1"/>
    <n v="48.49"/>
  </r>
  <r>
    <x v="8"/>
    <s v="Hay 2"/>
    <n v="24.21"/>
  </r>
  <r>
    <x v="8"/>
    <s v="Natural permanent pasture 1"/>
    <n v="110.01"/>
  </r>
  <r>
    <x v="8"/>
    <s v="Natural permanent pasture 2"/>
    <n v="40.78"/>
  </r>
  <r>
    <x v="8"/>
    <s v="Natural temporary pasture"/>
    <n v="214.85"/>
  </r>
  <r>
    <x v="9"/>
    <s v="Barley"/>
    <n v="4.5"/>
  </r>
  <r>
    <x v="9"/>
    <s v="Natural permanent pasture 1"/>
    <n v="3.59"/>
  </r>
  <r>
    <x v="9"/>
    <s v="Natural permanent pasture 2"/>
    <n v="80.31"/>
  </r>
  <r>
    <x v="9"/>
    <s v="Natural permanent pasture 3"/>
    <n v="78.459999999999994"/>
  </r>
  <r>
    <x v="9"/>
    <s v="Natural temporary pasture 1"/>
    <n v="8.7899999999999991"/>
  </r>
  <r>
    <x v="9"/>
    <s v="Natural temporary pasture 2"/>
    <n v="34.869999999999997"/>
  </r>
  <r>
    <x v="9"/>
    <s v="Natural temporary pasture 3"/>
    <n v="16.489999999999998"/>
  </r>
  <r>
    <x v="9"/>
    <s v="Natural temporary pasture 4"/>
    <n v="14.24"/>
  </r>
  <r>
    <x v="9"/>
    <s v="Natural temporary pasture 5"/>
    <n v="17.12"/>
  </r>
  <r>
    <x v="9"/>
    <s v="Sorghum"/>
    <n v="7.72"/>
  </r>
  <r>
    <x v="9"/>
    <s v="Sown permanent pasture 1"/>
    <n v="57.72"/>
  </r>
  <r>
    <x v="9"/>
    <s v="Sown permanent pasture 2"/>
    <n v="21.08"/>
  </r>
  <r>
    <x v="9"/>
    <s v="Sown permanent pasture 3"/>
    <n v="10.43"/>
  </r>
  <r>
    <x v="9"/>
    <s v="Sown permanent pasture 4"/>
    <n v="58.63"/>
  </r>
  <r>
    <x v="9"/>
    <s v="Sown permanent pasture 5"/>
    <n v="65.23"/>
  </r>
  <r>
    <x v="10"/>
    <s v="Hay 1"/>
    <n v="24.9"/>
  </r>
  <r>
    <x v="10"/>
    <s v="Hay 2"/>
    <n v="12"/>
  </r>
  <r>
    <x v="10"/>
    <s v="Natural permanent pasture 1"/>
    <n v="14.3"/>
  </r>
  <r>
    <x v="10"/>
    <s v="Natural permanent pasture 2"/>
    <n v="45"/>
  </r>
  <r>
    <x v="10"/>
    <s v="Sown permanent pasture 1"/>
    <n v="34.6"/>
  </r>
  <r>
    <x v="10"/>
    <s v="Sown permanent pasture 2"/>
    <n v="47.7"/>
  </r>
  <r>
    <x v="10"/>
    <s v="Sown permanent pasture 3"/>
    <n v="46.9"/>
  </r>
  <r>
    <x v="10"/>
    <s v="Sown permanent pasture 4"/>
    <n v="30.8"/>
  </r>
  <r>
    <x v="10"/>
    <s v="Sown permanent pasture 5"/>
    <n v="53"/>
  </r>
  <r>
    <x v="10"/>
    <s v="Sown permanent pasture 6"/>
    <n v="42.8"/>
  </r>
  <r>
    <x v="10"/>
    <s v="Sown permanent pasture 7"/>
    <n v="61"/>
  </r>
  <r>
    <x v="10"/>
    <s v="Sown permanent pasture 8"/>
    <n v="21"/>
  </r>
  <r>
    <x v="10"/>
    <s v="Sown permanent pasture 9"/>
    <n v="5.7"/>
  </r>
  <r>
    <x v="11"/>
    <s v="Hay"/>
    <n v="45.56"/>
  </r>
  <r>
    <x v="11"/>
    <s v="Natural permanent pasture 1"/>
    <n v="1.86"/>
  </r>
  <r>
    <x v="11"/>
    <s v="Natural permanent pasture 2"/>
    <n v="177.18"/>
  </r>
  <r>
    <x v="11"/>
    <s v="Natural permanent pasture 3"/>
    <n v="360"/>
  </r>
  <r>
    <x v="11"/>
    <s v="Natural temporary pasture"/>
    <n v="97.51"/>
  </r>
  <r>
    <x v="11"/>
    <s v="None"/>
    <n v="23.94"/>
  </r>
  <r>
    <x v="11"/>
    <s v="Sown permanent pasture 1"/>
    <n v="70.66"/>
  </r>
  <r>
    <x v="12"/>
    <s v="Hay"/>
    <n v="77.62"/>
  </r>
  <r>
    <x v="12"/>
    <s v="Natural permanent pasture 1"/>
    <n v="113.42"/>
  </r>
  <r>
    <x v="12"/>
    <s v="Natural permanent pasture 2"/>
    <n v="124.88"/>
  </r>
  <r>
    <x v="13"/>
    <s v="Natural permanent pasture"/>
    <n v="274.22000000000003"/>
  </r>
  <r>
    <x v="13"/>
    <s v="Sown permanent pasture"/>
    <n v="268.36"/>
  </r>
  <r>
    <x v="14"/>
    <s v="Natural permanent pasture"/>
    <n v="38.18"/>
  </r>
  <r>
    <x v="14"/>
    <s v="Natural permanent pasture 2"/>
    <n v="68.489999999999995"/>
  </r>
  <r>
    <x v="14"/>
    <s v="Natural temporary pasture"/>
    <n v="2.29"/>
  </r>
  <r>
    <x v="14"/>
    <s v="Olive + pasture"/>
    <n v="8.39"/>
  </r>
  <r>
    <x v="14"/>
    <s v="Olive + pasture 2"/>
    <n v="3.43"/>
  </r>
  <r>
    <x v="14"/>
    <s v="Sown permanent pasture"/>
    <n v="63.4"/>
  </r>
  <r>
    <x v="14"/>
    <s v="Sown permanent pasture 2"/>
    <n v="56.15"/>
  </r>
  <r>
    <x v="14"/>
    <s v="Triticale"/>
    <n v="45.96"/>
  </r>
  <r>
    <x v="15"/>
    <s v="Natural permanent pasture"/>
    <n v="82.7"/>
  </r>
  <r>
    <x v="15"/>
    <s v="Sown permanent pasture"/>
    <n v="180"/>
  </r>
  <r>
    <x v="16"/>
    <s v="Natural permanent pasture"/>
    <n v="23"/>
  </r>
  <r>
    <x v="17"/>
    <s v="Mixed sowing (oze, oats, vicia, triticale, lucerne, sainfoin, persian clover)"/>
    <n v="40"/>
  </r>
  <r>
    <x v="17"/>
    <s v="Natural permanent pasture"/>
    <n v="30"/>
  </r>
  <r>
    <x v="17"/>
    <s v="Persian clover"/>
    <n v="10"/>
  </r>
  <r>
    <x v="17"/>
    <s v="Pumpkin"/>
    <n v="4"/>
  </r>
  <r>
    <x v="17"/>
    <s v="Seed propagation"/>
    <n v="26"/>
  </r>
  <r>
    <x v="17"/>
    <s v="Sown permanent pasture"/>
    <n v="220"/>
  </r>
  <r>
    <x v="18"/>
    <s v="Natural permanent pasture"/>
    <n v="289.91000000000003"/>
  </r>
  <r>
    <x v="18"/>
    <s v="Sown permanent pasture"/>
    <n v="119.77"/>
  </r>
  <r>
    <x v="18"/>
    <s v="Temporary cultures"/>
    <n v="26.46"/>
  </r>
  <r>
    <x v="19"/>
    <s v="Natural permanent pasture"/>
    <n v="235"/>
  </r>
  <r>
    <x v="19"/>
    <s v="Sown permanent pasture"/>
    <n v="160"/>
  </r>
  <r>
    <x v="20"/>
    <s v="Hay"/>
    <n v="33.409999999999997"/>
  </r>
  <r>
    <x v="20"/>
    <s v="Natural permanent pasture"/>
    <n v="20.3"/>
  </r>
  <r>
    <x v="20"/>
    <s v="Olive + pasture"/>
    <n v="2.8100000000000023"/>
  </r>
  <r>
    <x v="20"/>
    <s v="Sown permanent pasture"/>
    <n v="28.2"/>
  </r>
  <r>
    <x v="20"/>
    <s v="Temporary cultures"/>
    <n v="18.28"/>
  </r>
  <r>
    <x v="21"/>
    <s v="Cork + pasture"/>
    <n v="27.76"/>
  </r>
  <r>
    <x v="21"/>
    <s v="Natural permanent pasture"/>
    <n v="93.54"/>
  </r>
  <r>
    <x v="21"/>
    <s v="Temporary cultures"/>
    <n v="40.24"/>
  </r>
  <r>
    <x v="22"/>
    <s v="Hay"/>
    <n v="50"/>
  </r>
  <r>
    <x v="22"/>
    <s v="Natural permanent pasture"/>
    <n v="2150"/>
  </r>
  <r>
    <x v="22"/>
    <s v="Oat"/>
    <n v="250"/>
  </r>
  <r>
    <x v="22"/>
    <s v="Sown permanent pasture"/>
    <n v="350"/>
  </r>
  <r>
    <x v="23"/>
    <s v="Sown permanent pasture"/>
    <n v="58"/>
  </r>
  <r>
    <x v="24"/>
    <s v="Consociation"/>
    <n v="15"/>
  </r>
  <r>
    <x v="24"/>
    <s v="CornSilage + Barley"/>
    <n v="15"/>
  </r>
  <r>
    <x v="24"/>
    <s v="Hay"/>
    <n v="60"/>
  </r>
  <r>
    <x v="24"/>
    <s v="Natural permanent pasture"/>
    <n v="100"/>
  </r>
  <r>
    <x v="24"/>
    <s v="Sown temporary pasture"/>
    <n v="30"/>
  </r>
  <r>
    <x v="25"/>
    <s v="Hay"/>
    <n v="60"/>
  </r>
  <r>
    <x v="25"/>
    <s v="Natural permanent pasture"/>
    <n v="180"/>
  </r>
  <r>
    <x v="25"/>
    <s v="Peas"/>
    <n v="9"/>
  </r>
  <r>
    <x v="26"/>
    <s v="Hay"/>
    <n v="250"/>
  </r>
  <r>
    <x v="26"/>
    <s v="Natural permanent pasture"/>
    <n v="1090"/>
  </r>
  <r>
    <x v="26"/>
    <s v="Sown permanent pasture"/>
    <n v="260"/>
  </r>
  <r>
    <x v="26"/>
    <s v="Sown temporary pasture"/>
    <n v="400"/>
  </r>
  <r>
    <x v="27"/>
    <s v="Barley"/>
    <n v="25"/>
  </r>
  <r>
    <x v="27"/>
    <s v="Hay"/>
    <n v="45"/>
  </r>
  <r>
    <x v="27"/>
    <s v="Natural permanent pasture"/>
    <n v="373"/>
  </r>
  <r>
    <x v="27"/>
    <s v="Olive + pasture"/>
    <n v="20"/>
  </r>
  <r>
    <x v="27"/>
    <s v="Sown permanent pasture"/>
    <n v="250"/>
  </r>
  <r>
    <x v="28"/>
    <s v="Sown permanent pasture"/>
    <n v="55"/>
  </r>
  <r>
    <x v="29"/>
    <s v="Hay"/>
    <n v="2"/>
  </r>
  <r>
    <x v="29"/>
    <s v="Natural permanent pasture"/>
    <n v="276"/>
  </r>
  <r>
    <x v="29"/>
    <s v="Pommegranate"/>
    <n v="7"/>
  </r>
  <r>
    <x v="29"/>
    <s v="Sown permanent pasture"/>
    <n v="45"/>
  </r>
  <r>
    <x v="30"/>
    <s v="Hay"/>
    <n v="40"/>
  </r>
  <r>
    <x v="30"/>
    <s v="Hay silage"/>
    <n v="25"/>
  </r>
  <r>
    <x v="30"/>
    <s v="Natural permanent pasture"/>
    <n v="120"/>
  </r>
  <r>
    <x v="31"/>
    <s v="CornSilage"/>
    <n v="30"/>
  </r>
  <r>
    <x v="31"/>
    <s v="Hay"/>
    <n v="200"/>
  </r>
  <r>
    <x v="31"/>
    <s v="Hay (irrigated)"/>
    <n v="30"/>
  </r>
  <r>
    <x v="31"/>
    <s v="Natural permanent pasture"/>
    <n v="1260"/>
  </r>
  <r>
    <x v="31"/>
    <s v="Natural temporary pasture"/>
    <n v="582"/>
  </r>
  <r>
    <x v="32"/>
    <s v="Natural permanent pasture"/>
    <n v="185"/>
  </r>
  <r>
    <x v="32"/>
    <s v="Natural temporary pasture"/>
    <n v="185"/>
  </r>
  <r>
    <x v="33"/>
    <s v="Hay"/>
    <n v="40"/>
  </r>
  <r>
    <x v="33"/>
    <s v="Lucerne"/>
    <n v="5"/>
  </r>
  <r>
    <x v="33"/>
    <s v="Natural permanent pasture"/>
    <n v="140"/>
  </r>
  <r>
    <x v="33"/>
    <s v="Natural temporary pasture"/>
    <n v="165"/>
  </r>
  <r>
    <x v="34"/>
    <s v="Florest"/>
    <n v="30"/>
  </r>
  <r>
    <x v="34"/>
    <s v="Hay"/>
    <n v="40"/>
  </r>
  <r>
    <x v="34"/>
    <s v="Natural permanent pasture"/>
    <n v="251"/>
  </r>
  <r>
    <x v="34"/>
    <s v="Natural temporary pasture"/>
    <n v="60"/>
  </r>
  <r>
    <x v="35"/>
    <s v="Natural permanent pasture"/>
    <n v="730"/>
  </r>
  <r>
    <x v="36"/>
    <s v="Lolium"/>
    <n v="15"/>
  </r>
  <r>
    <x v="36"/>
    <s v="Lolium (grazed)"/>
    <n v="30"/>
  </r>
  <r>
    <x v="36"/>
    <s v="Natural temporary pasture"/>
    <n v="85"/>
  </r>
  <r>
    <x v="36"/>
    <s v="Sown permanent pasture"/>
    <n v="60"/>
  </r>
  <r>
    <x v="37"/>
    <s v="Hay"/>
    <n v="30"/>
  </r>
  <r>
    <x v="37"/>
    <s v="Natural permanent pasture"/>
    <n v="403"/>
  </r>
  <r>
    <x v="38"/>
    <s v="Hay silage"/>
    <n v="20"/>
  </r>
  <r>
    <x v="38"/>
    <s v="Natural permanent pasture"/>
    <n v="300"/>
  </r>
  <r>
    <x v="39"/>
    <s v="Cork + pasture"/>
    <n v="1450"/>
  </r>
  <r>
    <x v="39"/>
    <s v="Cork + sown pasture"/>
    <n v="150"/>
  </r>
  <r>
    <x v="39"/>
    <s v="Natural permanent pasture"/>
    <n v="80"/>
  </r>
  <r>
    <x v="39"/>
    <s v="Sown permanent pasture"/>
    <n v="120"/>
  </r>
  <r>
    <x v="40"/>
    <s v="Hay"/>
    <n v="10"/>
  </r>
  <r>
    <x v="40"/>
    <s v="Natural permanent pasture"/>
    <n v="86"/>
  </r>
  <r>
    <x v="40"/>
    <s v="Sown permanent pasture"/>
    <n v="54"/>
  </r>
  <r>
    <x v="41"/>
    <s v="Olive + pasture"/>
    <n v="41.99"/>
  </r>
  <r>
    <x v="41"/>
    <s v="Sown permanent pasture"/>
    <n v="228.87"/>
  </r>
  <r>
    <x v="41"/>
    <s v="Sown permanent pasture (irrigated)"/>
    <n v="60"/>
  </r>
  <r>
    <x v="41"/>
    <s v="Vineyard"/>
    <n v="25.42"/>
  </r>
  <r>
    <x v="42"/>
    <s v="Barley"/>
    <n v="70"/>
  </r>
  <r>
    <x v="42"/>
    <s v="Natural permanent pasture"/>
    <n v="170"/>
  </r>
  <r>
    <x v="42"/>
    <s v="Natural permanent pasture"/>
    <n v="40"/>
  </r>
  <r>
    <x v="42"/>
    <s v="Olive + pasture"/>
    <n v="70"/>
  </r>
  <r>
    <x v="42"/>
    <s v="Sown permanent pasture"/>
    <n v="150"/>
  </r>
  <r>
    <x v="43"/>
    <m/>
    <m/>
  </r>
  <r>
    <x v="43"/>
    <m/>
    <m/>
  </r>
  <r>
    <x v="43"/>
    <m/>
    <m/>
  </r>
  <r>
    <x v="4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53B0E-BE4A-497C-8F79-FC62580639DB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8" firstHeaderRow="1" firstDataRow="1" firstDataCol="1"/>
  <pivotFields count="3">
    <pivotField axis="axisRow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dataField="1" showAll="0"/>
  </pivotFields>
  <rowFields count="1">
    <field x="0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dataFields count="1">
    <dataField name="Sum of Surface" fld="2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0878-7BD3-4557-A1B2-AF986A2635E3}">
  <dimension ref="A3:B48"/>
  <sheetViews>
    <sheetView topLeftCell="A26" workbookViewId="0">
      <selection activeCell="B4" sqref="B4:B46"/>
    </sheetView>
  </sheetViews>
  <sheetFormatPr defaultRowHeight="15.5" x14ac:dyDescent="0.35"/>
  <cols>
    <col min="1" max="1" width="12.1640625" bestFit="1" customWidth="1"/>
    <col min="2" max="2" width="13.4140625" bestFit="1" customWidth="1"/>
  </cols>
  <sheetData>
    <row r="3" spans="1:2" x14ac:dyDescent="0.35">
      <c r="A3" s="45" t="s">
        <v>122</v>
      </c>
      <c r="B3" t="s">
        <v>125</v>
      </c>
    </row>
    <row r="4" spans="1:2" x14ac:dyDescent="0.35">
      <c r="A4" s="46" t="s">
        <v>0</v>
      </c>
      <c r="B4" s="47">
        <v>400</v>
      </c>
    </row>
    <row r="5" spans="1:2" x14ac:dyDescent="0.35">
      <c r="A5" s="46" t="s">
        <v>5</v>
      </c>
      <c r="B5" s="47">
        <v>117</v>
      </c>
    </row>
    <row r="6" spans="1:2" x14ac:dyDescent="0.35">
      <c r="A6" s="46" t="s">
        <v>13</v>
      </c>
      <c r="B6" s="47">
        <v>368</v>
      </c>
    </row>
    <row r="7" spans="1:2" x14ac:dyDescent="0.35">
      <c r="A7" s="46" t="s">
        <v>14</v>
      </c>
      <c r="B7" s="47">
        <v>3450.44</v>
      </c>
    </row>
    <row r="8" spans="1:2" x14ac:dyDescent="0.35">
      <c r="A8" s="46" t="s">
        <v>15</v>
      </c>
      <c r="B8" s="47">
        <v>350.84</v>
      </c>
    </row>
    <row r="9" spans="1:2" x14ac:dyDescent="0.35">
      <c r="A9" s="46" t="s">
        <v>16</v>
      </c>
      <c r="B9" s="47">
        <v>457.37</v>
      </c>
    </row>
    <row r="10" spans="1:2" x14ac:dyDescent="0.35">
      <c r="A10" s="46" t="s">
        <v>29</v>
      </c>
      <c r="B10" s="47">
        <v>192.65</v>
      </c>
    </row>
    <row r="11" spans="1:2" x14ac:dyDescent="0.35">
      <c r="A11" s="46" t="s">
        <v>36</v>
      </c>
      <c r="B11" s="47">
        <v>228.08</v>
      </c>
    </row>
    <row r="12" spans="1:2" x14ac:dyDescent="0.35">
      <c r="A12" s="46" t="s">
        <v>39</v>
      </c>
      <c r="B12" s="47">
        <v>438.34000000000003</v>
      </c>
    </row>
    <row r="13" spans="1:2" x14ac:dyDescent="0.35">
      <c r="A13" s="46" t="s">
        <v>40</v>
      </c>
      <c r="B13" s="47">
        <v>479.18000000000006</v>
      </c>
    </row>
    <row r="14" spans="1:2" x14ac:dyDescent="0.35">
      <c r="A14" s="46" t="s">
        <v>41</v>
      </c>
      <c r="B14" s="47">
        <v>439.7</v>
      </c>
    </row>
    <row r="15" spans="1:2" x14ac:dyDescent="0.35">
      <c r="A15" s="46" t="s">
        <v>42</v>
      </c>
      <c r="B15" s="47">
        <v>776.71</v>
      </c>
    </row>
    <row r="16" spans="1:2" x14ac:dyDescent="0.35">
      <c r="A16" s="46" t="s">
        <v>43</v>
      </c>
      <c r="B16" s="47">
        <v>315.92</v>
      </c>
    </row>
    <row r="17" spans="1:2" x14ac:dyDescent="0.35">
      <c r="A17" s="46" t="s">
        <v>53</v>
      </c>
      <c r="B17" s="47">
        <v>542.58000000000004</v>
      </c>
    </row>
    <row r="18" spans="1:2" x14ac:dyDescent="0.35">
      <c r="A18" s="46" t="s">
        <v>54</v>
      </c>
      <c r="B18" s="47">
        <v>286.29000000000002</v>
      </c>
    </row>
    <row r="19" spans="1:2" x14ac:dyDescent="0.35">
      <c r="A19" s="46" t="s">
        <v>55</v>
      </c>
      <c r="B19" s="47">
        <v>262.7</v>
      </c>
    </row>
    <row r="20" spans="1:2" x14ac:dyDescent="0.35">
      <c r="A20" s="46" t="s">
        <v>56</v>
      </c>
      <c r="B20" s="47">
        <v>23</v>
      </c>
    </row>
    <row r="21" spans="1:2" x14ac:dyDescent="0.35">
      <c r="A21" s="46" t="s">
        <v>57</v>
      </c>
      <c r="B21" s="47">
        <v>330</v>
      </c>
    </row>
    <row r="22" spans="1:2" x14ac:dyDescent="0.35">
      <c r="A22" s="46" t="s">
        <v>66</v>
      </c>
      <c r="B22" s="47">
        <v>436.14</v>
      </c>
    </row>
    <row r="23" spans="1:2" x14ac:dyDescent="0.35">
      <c r="A23" s="46" t="s">
        <v>67</v>
      </c>
      <c r="B23" s="47">
        <v>395</v>
      </c>
    </row>
    <row r="24" spans="1:2" x14ac:dyDescent="0.35">
      <c r="A24" s="46" t="s">
        <v>72</v>
      </c>
      <c r="B24" s="47">
        <v>103</v>
      </c>
    </row>
    <row r="25" spans="1:2" x14ac:dyDescent="0.35">
      <c r="A25" s="46" t="s">
        <v>74</v>
      </c>
      <c r="B25" s="47">
        <v>161.54000000000002</v>
      </c>
    </row>
    <row r="26" spans="1:2" x14ac:dyDescent="0.35">
      <c r="A26" s="46" t="s">
        <v>76</v>
      </c>
      <c r="B26" s="47">
        <v>2800</v>
      </c>
    </row>
    <row r="27" spans="1:2" x14ac:dyDescent="0.35">
      <c r="A27" s="46" t="s">
        <v>77</v>
      </c>
      <c r="B27" s="47">
        <v>58</v>
      </c>
    </row>
    <row r="28" spans="1:2" x14ac:dyDescent="0.35">
      <c r="A28" s="46" t="s">
        <v>81</v>
      </c>
      <c r="B28" s="47">
        <v>220</v>
      </c>
    </row>
    <row r="29" spans="1:2" x14ac:dyDescent="0.35">
      <c r="A29" s="46" t="s">
        <v>82</v>
      </c>
      <c r="B29" s="47">
        <v>249</v>
      </c>
    </row>
    <row r="30" spans="1:2" x14ac:dyDescent="0.35">
      <c r="A30" s="46" t="s">
        <v>84</v>
      </c>
      <c r="B30" s="47">
        <v>2000</v>
      </c>
    </row>
    <row r="31" spans="1:2" x14ac:dyDescent="0.35">
      <c r="A31" s="46" t="s">
        <v>85</v>
      </c>
      <c r="B31" s="47">
        <v>713</v>
      </c>
    </row>
    <row r="32" spans="1:2" x14ac:dyDescent="0.35">
      <c r="A32" s="46" t="s">
        <v>97</v>
      </c>
      <c r="B32" s="47">
        <v>55</v>
      </c>
    </row>
    <row r="33" spans="1:2" x14ac:dyDescent="0.35">
      <c r="A33" s="46" t="s">
        <v>98</v>
      </c>
      <c r="B33" s="47">
        <v>330</v>
      </c>
    </row>
    <row r="34" spans="1:2" x14ac:dyDescent="0.35">
      <c r="A34" s="46" t="s">
        <v>100</v>
      </c>
      <c r="B34" s="47">
        <v>185</v>
      </c>
    </row>
    <row r="35" spans="1:2" x14ac:dyDescent="0.35">
      <c r="A35" s="46" t="s">
        <v>102</v>
      </c>
      <c r="B35" s="47">
        <v>2102</v>
      </c>
    </row>
    <row r="36" spans="1:2" x14ac:dyDescent="0.35">
      <c r="A36" s="46" t="s">
        <v>104</v>
      </c>
      <c r="B36" s="47">
        <v>370</v>
      </c>
    </row>
    <row r="37" spans="1:2" x14ac:dyDescent="0.35">
      <c r="A37" s="46" t="s">
        <v>105</v>
      </c>
      <c r="B37" s="47">
        <v>350</v>
      </c>
    </row>
    <row r="38" spans="1:2" x14ac:dyDescent="0.35">
      <c r="A38" s="46" t="s">
        <v>107</v>
      </c>
      <c r="B38" s="47">
        <v>381</v>
      </c>
    </row>
    <row r="39" spans="1:2" x14ac:dyDescent="0.35">
      <c r="A39" s="46" t="s">
        <v>109</v>
      </c>
      <c r="B39" s="47">
        <v>730</v>
      </c>
    </row>
    <row r="40" spans="1:2" x14ac:dyDescent="0.35">
      <c r="A40" s="46" t="s">
        <v>110</v>
      </c>
      <c r="B40" s="47">
        <v>190</v>
      </c>
    </row>
    <row r="41" spans="1:2" x14ac:dyDescent="0.35">
      <c r="A41" s="46" t="s">
        <v>112</v>
      </c>
      <c r="B41" s="47">
        <v>433</v>
      </c>
    </row>
    <row r="42" spans="1:2" x14ac:dyDescent="0.35">
      <c r="A42" s="46" t="s">
        <v>113</v>
      </c>
      <c r="B42" s="47">
        <v>320</v>
      </c>
    </row>
    <row r="43" spans="1:2" x14ac:dyDescent="0.35">
      <c r="A43" s="46" t="s">
        <v>114</v>
      </c>
      <c r="B43" s="47">
        <v>1800</v>
      </c>
    </row>
    <row r="44" spans="1:2" x14ac:dyDescent="0.35">
      <c r="A44" s="46" t="s">
        <v>115</v>
      </c>
      <c r="B44" s="47">
        <v>150</v>
      </c>
    </row>
    <row r="45" spans="1:2" x14ac:dyDescent="0.35">
      <c r="A45" s="46" t="s">
        <v>116</v>
      </c>
      <c r="B45" s="47">
        <v>356.28000000000003</v>
      </c>
    </row>
    <row r="46" spans="1:2" x14ac:dyDescent="0.35">
      <c r="A46" s="46" t="s">
        <v>119</v>
      </c>
      <c r="B46" s="47">
        <v>500</v>
      </c>
    </row>
    <row r="47" spans="1:2" x14ac:dyDescent="0.35">
      <c r="A47" s="46" t="s">
        <v>123</v>
      </c>
      <c r="B47" s="47"/>
    </row>
    <row r="48" spans="1:2" x14ac:dyDescent="0.35">
      <c r="A48" s="46" t="s">
        <v>124</v>
      </c>
      <c r="B48" s="47">
        <v>24846.760000000002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6"/>
  <sheetViews>
    <sheetView tabSelected="1" zoomScale="140" zoomScaleNormal="140" workbookViewId="0">
      <selection activeCell="B4" sqref="B4"/>
    </sheetView>
  </sheetViews>
  <sheetFormatPr defaultColWidth="11.1640625" defaultRowHeight="15.5" x14ac:dyDescent="0.35"/>
  <cols>
    <col min="2" max="2" width="25.83203125" bestFit="1" customWidth="1"/>
    <col min="3" max="3" width="7" style="26" bestFit="1" customWidth="1"/>
    <col min="4" max="4" width="16.9140625" bestFit="1" customWidth="1"/>
  </cols>
  <sheetData>
    <row r="1" spans="1:4" ht="16" thickBot="1" x14ac:dyDescent="0.4">
      <c r="A1" s="39" t="s">
        <v>86</v>
      </c>
      <c r="B1" s="40" t="s">
        <v>87</v>
      </c>
      <c r="C1" s="41" t="s">
        <v>88</v>
      </c>
      <c r="D1" s="42" t="s">
        <v>89</v>
      </c>
    </row>
    <row r="2" spans="1:4" x14ac:dyDescent="0.35">
      <c r="A2" s="36" t="s">
        <v>0</v>
      </c>
      <c r="B2" s="37" t="s">
        <v>25</v>
      </c>
      <c r="C2" s="38">
        <v>6.2</v>
      </c>
      <c r="D2" s="36">
        <v>0</v>
      </c>
    </row>
    <row r="3" spans="1:4" x14ac:dyDescent="0.35">
      <c r="A3" s="12" t="s">
        <v>0</v>
      </c>
      <c r="B3" s="14" t="s">
        <v>2</v>
      </c>
      <c r="C3" s="3">
        <v>10</v>
      </c>
      <c r="D3" s="12">
        <v>0</v>
      </c>
    </row>
    <row r="4" spans="1:4" x14ac:dyDescent="0.35">
      <c r="A4" s="12" t="s">
        <v>0</v>
      </c>
      <c r="B4" s="14" t="s">
        <v>3</v>
      </c>
      <c r="C4" s="3">
        <v>37.6</v>
      </c>
      <c r="D4" s="12">
        <v>0</v>
      </c>
    </row>
    <row r="5" spans="1:4" x14ac:dyDescent="0.35">
      <c r="A5" s="12" t="s">
        <v>0</v>
      </c>
      <c r="B5" s="14" t="s">
        <v>27</v>
      </c>
      <c r="C5" s="3">
        <v>346.2</v>
      </c>
      <c r="D5" s="12">
        <v>0.3</v>
      </c>
    </row>
    <row r="6" spans="1:4" x14ac:dyDescent="0.35">
      <c r="A6" s="15" t="s">
        <v>5</v>
      </c>
      <c r="B6" s="16" t="s">
        <v>95</v>
      </c>
      <c r="C6" s="27">
        <v>56.1</v>
      </c>
      <c r="D6" s="12">
        <v>0</v>
      </c>
    </row>
    <row r="7" spans="1:4" x14ac:dyDescent="0.35">
      <c r="A7" s="15" t="s">
        <v>5</v>
      </c>
      <c r="B7" s="17" t="s">
        <v>7</v>
      </c>
      <c r="C7" s="27">
        <v>47.4</v>
      </c>
      <c r="D7" s="12">
        <v>0.15</v>
      </c>
    </row>
    <row r="8" spans="1:4" x14ac:dyDescent="0.35">
      <c r="A8" s="15" t="s">
        <v>5</v>
      </c>
      <c r="B8" s="17" t="s">
        <v>8</v>
      </c>
      <c r="C8" s="27">
        <v>13.5</v>
      </c>
      <c r="D8" s="12">
        <v>0.15</v>
      </c>
    </row>
    <row r="9" spans="1:4" x14ac:dyDescent="0.35">
      <c r="A9" s="15" t="s">
        <v>13</v>
      </c>
      <c r="B9" s="16" t="s">
        <v>10</v>
      </c>
      <c r="C9" s="27">
        <v>277</v>
      </c>
      <c r="D9" s="12">
        <v>0.3</v>
      </c>
    </row>
    <row r="10" spans="1:4" x14ac:dyDescent="0.35">
      <c r="A10" s="15" t="s">
        <v>13</v>
      </c>
      <c r="B10" s="16" t="s">
        <v>11</v>
      </c>
      <c r="C10" s="27">
        <v>84</v>
      </c>
      <c r="D10" s="12">
        <v>0.15</v>
      </c>
    </row>
    <row r="11" spans="1:4" x14ac:dyDescent="0.35">
      <c r="A11" s="15" t="s">
        <v>13</v>
      </c>
      <c r="B11" s="18" t="s">
        <v>9</v>
      </c>
      <c r="C11" s="28">
        <v>4</v>
      </c>
      <c r="D11" s="12">
        <v>0</v>
      </c>
    </row>
    <row r="12" spans="1:4" x14ac:dyDescent="0.35">
      <c r="A12" s="15" t="s">
        <v>13</v>
      </c>
      <c r="B12" s="18" t="s">
        <v>12</v>
      </c>
      <c r="C12" s="28">
        <v>3</v>
      </c>
      <c r="D12" s="12">
        <v>0.3</v>
      </c>
    </row>
    <row r="13" spans="1:4" x14ac:dyDescent="0.35">
      <c r="A13" s="15" t="s">
        <v>14</v>
      </c>
      <c r="B13" s="18" t="s">
        <v>17</v>
      </c>
      <c r="C13" s="28">
        <v>41.89</v>
      </c>
      <c r="D13" s="12">
        <v>0.3</v>
      </c>
    </row>
    <row r="14" spans="1:4" x14ac:dyDescent="0.35">
      <c r="A14" s="15" t="s">
        <v>14</v>
      </c>
      <c r="B14" s="18" t="s">
        <v>18</v>
      </c>
      <c r="C14" s="28">
        <v>24.69</v>
      </c>
      <c r="D14" s="12">
        <v>0.3</v>
      </c>
    </row>
    <row r="15" spans="1:4" x14ac:dyDescent="0.35">
      <c r="A15" s="15" t="s">
        <v>14</v>
      </c>
      <c r="B15" s="18" t="s">
        <v>19</v>
      </c>
      <c r="C15" s="28">
        <v>78.900000000000006</v>
      </c>
      <c r="D15" s="12">
        <v>0.3</v>
      </c>
    </row>
    <row r="16" spans="1:4" x14ac:dyDescent="0.35">
      <c r="A16" s="15" t="s">
        <v>14</v>
      </c>
      <c r="B16" s="18" t="s">
        <v>20</v>
      </c>
      <c r="C16" s="27">
        <v>471.31</v>
      </c>
      <c r="D16" s="12">
        <v>0.3</v>
      </c>
    </row>
    <row r="17" spans="1:4" x14ac:dyDescent="0.35">
      <c r="A17" s="15" t="s">
        <v>14</v>
      </c>
      <c r="B17" s="16" t="s">
        <v>21</v>
      </c>
      <c r="C17" s="27">
        <v>658.78</v>
      </c>
      <c r="D17" s="12">
        <v>0.3</v>
      </c>
    </row>
    <row r="18" spans="1:4" x14ac:dyDescent="0.35">
      <c r="A18" s="15" t="s">
        <v>14</v>
      </c>
      <c r="B18" s="16" t="s">
        <v>22</v>
      </c>
      <c r="C18" s="27">
        <v>733.08</v>
      </c>
      <c r="D18" s="12">
        <v>0.3</v>
      </c>
    </row>
    <row r="19" spans="1:4" x14ac:dyDescent="0.35">
      <c r="A19" s="15" t="s">
        <v>14</v>
      </c>
      <c r="B19" s="16" t="s">
        <v>23</v>
      </c>
      <c r="C19" s="27">
        <v>1153.42</v>
      </c>
      <c r="D19" s="12">
        <v>0.3</v>
      </c>
    </row>
    <row r="20" spans="1:4" x14ac:dyDescent="0.35">
      <c r="A20" s="15" t="s">
        <v>14</v>
      </c>
      <c r="B20" s="16" t="s">
        <v>24</v>
      </c>
      <c r="C20" s="27">
        <v>288.37</v>
      </c>
      <c r="D20" s="12">
        <v>0.3</v>
      </c>
    </row>
    <row r="21" spans="1:4" x14ac:dyDescent="0.35">
      <c r="A21" s="15" t="s">
        <v>15</v>
      </c>
      <c r="B21" s="18" t="s">
        <v>25</v>
      </c>
      <c r="C21" s="28">
        <v>22.18</v>
      </c>
      <c r="D21" s="12">
        <v>0</v>
      </c>
    </row>
    <row r="22" spans="1:4" x14ac:dyDescent="0.35">
      <c r="A22" s="15" t="s">
        <v>15</v>
      </c>
      <c r="B22" s="18" t="s">
        <v>26</v>
      </c>
      <c r="C22" s="28">
        <f>16+152.26</f>
        <v>168.26</v>
      </c>
      <c r="D22" s="12">
        <v>0</v>
      </c>
    </row>
    <row r="23" spans="1:4" x14ac:dyDescent="0.35">
      <c r="A23" s="15" t="s">
        <v>15</v>
      </c>
      <c r="B23" s="18" t="s">
        <v>10</v>
      </c>
      <c r="C23" s="28">
        <f>71.17+33.34</f>
        <v>104.51</v>
      </c>
      <c r="D23" s="12">
        <v>0.15</v>
      </c>
    </row>
    <row r="24" spans="1:4" x14ac:dyDescent="0.35">
      <c r="A24" s="15" t="s">
        <v>15</v>
      </c>
      <c r="B24" s="18" t="s">
        <v>27</v>
      </c>
      <c r="C24" s="28">
        <v>55.89</v>
      </c>
      <c r="D24" s="12">
        <v>0.3</v>
      </c>
    </row>
    <row r="25" spans="1:4" x14ac:dyDescent="0.35">
      <c r="A25" s="15" t="s">
        <v>16</v>
      </c>
      <c r="B25" s="18" t="s">
        <v>10</v>
      </c>
      <c r="C25" s="28">
        <v>457.37</v>
      </c>
      <c r="D25" s="12">
        <v>0.15</v>
      </c>
    </row>
    <row r="26" spans="1:4" x14ac:dyDescent="0.35">
      <c r="A26" s="15" t="s">
        <v>29</v>
      </c>
      <c r="B26" s="18" t="s">
        <v>2</v>
      </c>
      <c r="C26" s="28">
        <v>12.91</v>
      </c>
      <c r="D26" s="12">
        <v>0</v>
      </c>
    </row>
    <row r="27" spans="1:4" x14ac:dyDescent="0.35">
      <c r="A27" s="15" t="s">
        <v>29</v>
      </c>
      <c r="B27" s="18" t="s">
        <v>7</v>
      </c>
      <c r="C27" s="28">
        <v>75.900000000000006</v>
      </c>
      <c r="D27" s="12">
        <v>0.15</v>
      </c>
    </row>
    <row r="28" spans="1:4" x14ac:dyDescent="0.35">
      <c r="A28" s="15" t="s">
        <v>29</v>
      </c>
      <c r="B28" s="18" t="s">
        <v>8</v>
      </c>
      <c r="C28" s="28">
        <v>47.74</v>
      </c>
      <c r="D28" s="12">
        <v>0.15</v>
      </c>
    </row>
    <row r="29" spans="1:4" x14ac:dyDescent="0.35">
      <c r="A29" s="15" t="s">
        <v>29</v>
      </c>
      <c r="B29" s="18" t="s">
        <v>27</v>
      </c>
      <c r="C29" s="28">
        <v>56.1</v>
      </c>
      <c r="D29" s="12">
        <v>0.3</v>
      </c>
    </row>
    <row r="30" spans="1:4" x14ac:dyDescent="0.35">
      <c r="A30" s="15" t="s">
        <v>36</v>
      </c>
      <c r="B30" s="18" t="s">
        <v>30</v>
      </c>
      <c r="C30" s="28">
        <v>2.85</v>
      </c>
      <c r="D30" s="12">
        <v>0</v>
      </c>
    </row>
    <row r="31" spans="1:4" x14ac:dyDescent="0.35">
      <c r="A31" s="15" t="s">
        <v>36</v>
      </c>
      <c r="B31" s="16" t="s">
        <v>7</v>
      </c>
      <c r="C31" s="27">
        <v>0.02</v>
      </c>
      <c r="D31" s="12">
        <v>0.15</v>
      </c>
    </row>
    <row r="32" spans="1:4" x14ac:dyDescent="0.35">
      <c r="A32" s="15" t="s">
        <v>36</v>
      </c>
      <c r="B32" s="16" t="s">
        <v>8</v>
      </c>
      <c r="C32" s="27">
        <v>38.6</v>
      </c>
      <c r="D32" s="12">
        <v>0.15</v>
      </c>
    </row>
    <row r="33" spans="1:4" x14ac:dyDescent="0.35">
      <c r="A33" s="15" t="s">
        <v>36</v>
      </c>
      <c r="B33" s="16" t="s">
        <v>34</v>
      </c>
      <c r="C33" s="27">
        <v>52.18</v>
      </c>
      <c r="D33" s="12">
        <v>0.15</v>
      </c>
    </row>
    <row r="34" spans="1:4" x14ac:dyDescent="0.35">
      <c r="A34" s="15" t="s">
        <v>36</v>
      </c>
      <c r="B34" s="16" t="s">
        <v>11</v>
      </c>
      <c r="C34" s="27">
        <v>53.07</v>
      </c>
      <c r="D34" s="12">
        <v>0.15</v>
      </c>
    </row>
    <row r="35" spans="1:4" x14ac:dyDescent="0.35">
      <c r="A35" s="15" t="s">
        <v>36</v>
      </c>
      <c r="B35" s="19" t="s">
        <v>96</v>
      </c>
      <c r="C35" s="27">
        <v>21.51</v>
      </c>
      <c r="D35" s="12">
        <v>0</v>
      </c>
    </row>
    <row r="36" spans="1:4" x14ac:dyDescent="0.35">
      <c r="A36" s="15" t="s">
        <v>36</v>
      </c>
      <c r="B36" s="16" t="s">
        <v>59</v>
      </c>
      <c r="C36" s="27">
        <v>5.43</v>
      </c>
      <c r="D36" s="12">
        <v>0.15</v>
      </c>
    </row>
    <row r="37" spans="1:4" x14ac:dyDescent="0.35">
      <c r="A37" s="15" t="s">
        <v>36</v>
      </c>
      <c r="B37" s="16" t="s">
        <v>31</v>
      </c>
      <c r="C37" s="27">
        <v>22.16</v>
      </c>
      <c r="D37" s="12">
        <v>0</v>
      </c>
    </row>
    <row r="38" spans="1:4" x14ac:dyDescent="0.35">
      <c r="A38" s="15" t="s">
        <v>36</v>
      </c>
      <c r="B38" s="16" t="s">
        <v>27</v>
      </c>
      <c r="C38" s="27">
        <v>13.08</v>
      </c>
      <c r="D38" s="12">
        <v>0.3</v>
      </c>
    </row>
    <row r="39" spans="1:4" x14ac:dyDescent="0.35">
      <c r="A39" s="15" t="s">
        <v>36</v>
      </c>
      <c r="B39" s="16" t="s">
        <v>32</v>
      </c>
      <c r="C39" s="27">
        <v>19.18</v>
      </c>
      <c r="D39" s="12">
        <v>1</v>
      </c>
    </row>
    <row r="40" spans="1:4" x14ac:dyDescent="0.35">
      <c r="A40" s="15" t="s">
        <v>39</v>
      </c>
      <c r="B40" s="16" t="s">
        <v>37</v>
      </c>
      <c r="C40" s="27">
        <v>48.49</v>
      </c>
      <c r="D40" s="12">
        <v>0</v>
      </c>
    </row>
    <row r="41" spans="1:4" x14ac:dyDescent="0.35">
      <c r="A41" s="15" t="s">
        <v>39</v>
      </c>
      <c r="B41" s="16" t="s">
        <v>38</v>
      </c>
      <c r="C41" s="27">
        <v>24.21</v>
      </c>
      <c r="D41" s="12">
        <v>0</v>
      </c>
    </row>
    <row r="42" spans="1:4" x14ac:dyDescent="0.35">
      <c r="A42" s="15" t="s">
        <v>39</v>
      </c>
      <c r="B42" s="18" t="s">
        <v>7</v>
      </c>
      <c r="C42" s="28">
        <v>110.01</v>
      </c>
      <c r="D42" s="12">
        <v>0.15</v>
      </c>
    </row>
    <row r="43" spans="1:4" x14ac:dyDescent="0.35">
      <c r="A43" s="15" t="s">
        <v>39</v>
      </c>
      <c r="B43" s="16" t="s">
        <v>8</v>
      </c>
      <c r="C43" s="27">
        <v>40.78</v>
      </c>
      <c r="D43" s="12">
        <v>0.15</v>
      </c>
    </row>
    <row r="44" spans="1:4" x14ac:dyDescent="0.35">
      <c r="A44" s="15" t="s">
        <v>39</v>
      </c>
      <c r="B44" s="18" t="s">
        <v>11</v>
      </c>
      <c r="C44" s="28">
        <v>214.85</v>
      </c>
      <c r="D44" s="12">
        <v>0.15</v>
      </c>
    </row>
    <row r="45" spans="1:4" x14ac:dyDescent="0.35">
      <c r="A45" s="15" t="s">
        <v>40</v>
      </c>
      <c r="B45" s="18" t="s">
        <v>44</v>
      </c>
      <c r="C45" s="28">
        <v>4.5</v>
      </c>
      <c r="D45" s="12">
        <v>0</v>
      </c>
    </row>
    <row r="46" spans="1:4" x14ac:dyDescent="0.35">
      <c r="A46" s="15" t="s">
        <v>40</v>
      </c>
      <c r="B46" s="16" t="s">
        <v>7</v>
      </c>
      <c r="C46" s="27">
        <v>3.59</v>
      </c>
      <c r="D46" s="12">
        <v>0.15</v>
      </c>
    </row>
    <row r="47" spans="1:4" x14ac:dyDescent="0.35">
      <c r="A47" s="15" t="s">
        <v>40</v>
      </c>
      <c r="B47" s="16" t="s">
        <v>8</v>
      </c>
      <c r="C47" s="27">
        <v>80.31</v>
      </c>
      <c r="D47" s="12">
        <v>0.15</v>
      </c>
    </row>
    <row r="48" spans="1:4" x14ac:dyDescent="0.35">
      <c r="A48" s="15" t="s">
        <v>40</v>
      </c>
      <c r="B48" s="16" t="s">
        <v>34</v>
      </c>
      <c r="C48" s="27">
        <v>78.459999999999994</v>
      </c>
      <c r="D48" s="12">
        <v>0.15</v>
      </c>
    </row>
    <row r="49" spans="1:4" x14ac:dyDescent="0.35">
      <c r="A49" s="15" t="s">
        <v>40</v>
      </c>
      <c r="B49" s="16" t="s">
        <v>45</v>
      </c>
      <c r="C49" s="27">
        <v>8.7899999999999991</v>
      </c>
      <c r="D49" s="12">
        <v>0.15</v>
      </c>
    </row>
    <row r="50" spans="1:4" x14ac:dyDescent="0.35">
      <c r="A50" s="15" t="s">
        <v>40</v>
      </c>
      <c r="B50" s="16" t="s">
        <v>46</v>
      </c>
      <c r="C50" s="27">
        <v>34.869999999999997</v>
      </c>
      <c r="D50" s="12">
        <v>0.15</v>
      </c>
    </row>
    <row r="51" spans="1:4" x14ac:dyDescent="0.35">
      <c r="A51" s="15" t="s">
        <v>40</v>
      </c>
      <c r="B51" s="16" t="s">
        <v>47</v>
      </c>
      <c r="C51" s="27">
        <v>16.489999999999998</v>
      </c>
      <c r="D51" s="12">
        <v>0.15</v>
      </c>
    </row>
    <row r="52" spans="1:4" x14ac:dyDescent="0.35">
      <c r="A52" s="15" t="s">
        <v>40</v>
      </c>
      <c r="B52" s="16" t="s">
        <v>48</v>
      </c>
      <c r="C52" s="27">
        <v>14.24</v>
      </c>
      <c r="D52" s="12">
        <v>0.15</v>
      </c>
    </row>
    <row r="53" spans="1:4" x14ac:dyDescent="0.35">
      <c r="A53" s="15" t="s">
        <v>40</v>
      </c>
      <c r="B53" s="16" t="s">
        <v>49</v>
      </c>
      <c r="C53" s="27">
        <v>17.12</v>
      </c>
      <c r="D53" s="12">
        <v>0.15</v>
      </c>
    </row>
    <row r="54" spans="1:4" x14ac:dyDescent="0.35">
      <c r="A54" s="15" t="s">
        <v>40</v>
      </c>
      <c r="B54" s="18" t="s">
        <v>9</v>
      </c>
      <c r="C54" s="28">
        <v>7.72</v>
      </c>
      <c r="D54" s="12">
        <v>0</v>
      </c>
    </row>
    <row r="55" spans="1:4" x14ac:dyDescent="0.35">
      <c r="A55" s="15" t="s">
        <v>40</v>
      </c>
      <c r="B55" s="16" t="s">
        <v>17</v>
      </c>
      <c r="C55" s="27">
        <v>57.72</v>
      </c>
      <c r="D55" s="12">
        <v>0.3</v>
      </c>
    </row>
    <row r="56" spans="1:4" x14ac:dyDescent="0.35">
      <c r="A56" s="15" t="s">
        <v>40</v>
      </c>
      <c r="B56" s="16" t="s">
        <v>18</v>
      </c>
      <c r="C56" s="27">
        <v>21.08</v>
      </c>
      <c r="D56" s="12">
        <v>0.3</v>
      </c>
    </row>
    <row r="57" spans="1:4" x14ac:dyDescent="0.35">
      <c r="A57" s="15" t="s">
        <v>40</v>
      </c>
      <c r="B57" s="16" t="s">
        <v>19</v>
      </c>
      <c r="C57" s="27">
        <v>10.43</v>
      </c>
      <c r="D57" s="12">
        <v>0.3</v>
      </c>
    </row>
    <row r="58" spans="1:4" x14ac:dyDescent="0.35">
      <c r="A58" s="15" t="s">
        <v>40</v>
      </c>
      <c r="B58" s="16" t="s">
        <v>20</v>
      </c>
      <c r="C58" s="27">
        <v>58.63</v>
      </c>
      <c r="D58" s="12">
        <v>0.3</v>
      </c>
    </row>
    <row r="59" spans="1:4" x14ac:dyDescent="0.35">
      <c r="A59" s="15" t="s">
        <v>40</v>
      </c>
      <c r="B59" s="16" t="s">
        <v>21</v>
      </c>
      <c r="C59" s="27">
        <v>65.23</v>
      </c>
      <c r="D59" s="12">
        <v>0.3</v>
      </c>
    </row>
    <row r="60" spans="1:4" x14ac:dyDescent="0.35">
      <c r="A60" s="15" t="s">
        <v>41</v>
      </c>
      <c r="B60" s="16" t="s">
        <v>37</v>
      </c>
      <c r="C60" s="27">
        <v>24.9</v>
      </c>
      <c r="D60" s="12">
        <v>0</v>
      </c>
    </row>
    <row r="61" spans="1:4" x14ac:dyDescent="0.35">
      <c r="A61" s="15" t="s">
        <v>41</v>
      </c>
      <c r="B61" s="16" t="s">
        <v>38</v>
      </c>
      <c r="C61" s="27">
        <v>12</v>
      </c>
      <c r="D61" s="12">
        <v>0</v>
      </c>
    </row>
    <row r="62" spans="1:4" x14ac:dyDescent="0.35">
      <c r="A62" s="15" t="s">
        <v>41</v>
      </c>
      <c r="B62" s="18" t="s">
        <v>7</v>
      </c>
      <c r="C62" s="28">
        <v>14.3</v>
      </c>
      <c r="D62" s="12">
        <v>0.15</v>
      </c>
    </row>
    <row r="63" spans="1:4" x14ac:dyDescent="0.35">
      <c r="A63" s="15" t="s">
        <v>41</v>
      </c>
      <c r="B63" s="16" t="s">
        <v>8</v>
      </c>
      <c r="C63" s="27">
        <v>45</v>
      </c>
      <c r="D63" s="12">
        <v>0.15</v>
      </c>
    </row>
    <row r="64" spans="1:4" x14ac:dyDescent="0.35">
      <c r="A64" s="15" t="s">
        <v>41</v>
      </c>
      <c r="B64" s="16" t="s">
        <v>17</v>
      </c>
      <c r="C64" s="27">
        <v>34.6</v>
      </c>
      <c r="D64" s="12">
        <v>0.3</v>
      </c>
    </row>
    <row r="65" spans="1:4" x14ac:dyDescent="0.35">
      <c r="A65" s="15" t="s">
        <v>41</v>
      </c>
      <c r="B65" s="16" t="s">
        <v>18</v>
      </c>
      <c r="C65" s="27">
        <v>47.7</v>
      </c>
      <c r="D65" s="12">
        <v>0.3</v>
      </c>
    </row>
    <row r="66" spans="1:4" x14ac:dyDescent="0.35">
      <c r="A66" s="15" t="s">
        <v>41</v>
      </c>
      <c r="B66" s="16" t="s">
        <v>19</v>
      </c>
      <c r="C66" s="27">
        <v>46.9</v>
      </c>
      <c r="D66" s="12">
        <v>0.3</v>
      </c>
    </row>
    <row r="67" spans="1:4" x14ac:dyDescent="0.35">
      <c r="A67" s="15" t="s">
        <v>41</v>
      </c>
      <c r="B67" s="16" t="s">
        <v>20</v>
      </c>
      <c r="C67" s="27">
        <v>30.8</v>
      </c>
      <c r="D67" s="12">
        <v>0.3</v>
      </c>
    </row>
    <row r="68" spans="1:4" x14ac:dyDescent="0.35">
      <c r="A68" s="15" t="s">
        <v>41</v>
      </c>
      <c r="B68" s="16" t="s">
        <v>21</v>
      </c>
      <c r="C68" s="27">
        <v>53</v>
      </c>
      <c r="D68" s="12">
        <v>0.3</v>
      </c>
    </row>
    <row r="69" spans="1:4" x14ac:dyDescent="0.35">
      <c r="A69" s="15" t="s">
        <v>41</v>
      </c>
      <c r="B69" s="16" t="s">
        <v>22</v>
      </c>
      <c r="C69" s="27">
        <v>42.8</v>
      </c>
      <c r="D69" s="12">
        <v>0.3</v>
      </c>
    </row>
    <row r="70" spans="1:4" x14ac:dyDescent="0.35">
      <c r="A70" s="15" t="s">
        <v>41</v>
      </c>
      <c r="B70" s="16" t="s">
        <v>23</v>
      </c>
      <c r="C70" s="27">
        <v>61</v>
      </c>
      <c r="D70" s="12">
        <v>0.3</v>
      </c>
    </row>
    <row r="71" spans="1:4" x14ac:dyDescent="0.35">
      <c r="A71" s="15" t="s">
        <v>41</v>
      </c>
      <c r="B71" s="16" t="s">
        <v>24</v>
      </c>
      <c r="C71" s="27">
        <v>21</v>
      </c>
      <c r="D71" s="12">
        <v>0.3</v>
      </c>
    </row>
    <row r="72" spans="1:4" x14ac:dyDescent="0.35">
      <c r="A72" s="15" t="s">
        <v>41</v>
      </c>
      <c r="B72" s="16" t="s">
        <v>51</v>
      </c>
      <c r="C72" s="27">
        <v>5.7</v>
      </c>
      <c r="D72" s="12">
        <v>0.3</v>
      </c>
    </row>
    <row r="73" spans="1:4" x14ac:dyDescent="0.35">
      <c r="A73" s="15" t="s">
        <v>42</v>
      </c>
      <c r="B73" s="18" t="s">
        <v>3</v>
      </c>
      <c r="C73" s="28">
        <v>45.56</v>
      </c>
      <c r="D73" s="12">
        <v>0</v>
      </c>
    </row>
    <row r="74" spans="1:4" x14ac:dyDescent="0.35">
      <c r="A74" s="15" t="s">
        <v>42</v>
      </c>
      <c r="B74" s="18" t="s">
        <v>7</v>
      </c>
      <c r="C74" s="28">
        <v>1.86</v>
      </c>
      <c r="D74" s="12">
        <v>0.15</v>
      </c>
    </row>
    <row r="75" spans="1:4" x14ac:dyDescent="0.35">
      <c r="A75" s="15" t="s">
        <v>42</v>
      </c>
      <c r="B75" s="18" t="s">
        <v>8</v>
      </c>
      <c r="C75" s="28">
        <v>177.18</v>
      </c>
      <c r="D75" s="12">
        <v>0.15</v>
      </c>
    </row>
    <row r="76" spans="1:4" x14ac:dyDescent="0.35">
      <c r="A76" s="15" t="s">
        <v>42</v>
      </c>
      <c r="B76" s="18" t="s">
        <v>34</v>
      </c>
      <c r="C76" s="28">
        <v>360</v>
      </c>
      <c r="D76" s="12">
        <v>0.15</v>
      </c>
    </row>
    <row r="77" spans="1:4" x14ac:dyDescent="0.35">
      <c r="A77" s="15" t="s">
        <v>42</v>
      </c>
      <c r="B77" s="18" t="s">
        <v>11</v>
      </c>
      <c r="C77" s="28">
        <v>97.51</v>
      </c>
      <c r="D77" s="12">
        <v>0.15</v>
      </c>
    </row>
    <row r="78" spans="1:4" x14ac:dyDescent="0.35">
      <c r="A78" s="15" t="s">
        <v>42</v>
      </c>
      <c r="B78" s="18" t="s">
        <v>52</v>
      </c>
      <c r="C78" s="28">
        <v>23.94</v>
      </c>
      <c r="D78" s="12">
        <v>0</v>
      </c>
    </row>
    <row r="79" spans="1:4" x14ac:dyDescent="0.35">
      <c r="A79" s="15" t="s">
        <v>42</v>
      </c>
      <c r="B79" s="18" t="s">
        <v>17</v>
      </c>
      <c r="C79" s="28">
        <v>70.66</v>
      </c>
      <c r="D79" s="12">
        <v>0.3</v>
      </c>
    </row>
    <row r="80" spans="1:4" x14ac:dyDescent="0.35">
      <c r="A80" s="15" t="s">
        <v>43</v>
      </c>
      <c r="B80" s="18" t="s">
        <v>3</v>
      </c>
      <c r="C80" s="28">
        <v>77.62</v>
      </c>
      <c r="D80" s="12">
        <v>0</v>
      </c>
    </row>
    <row r="81" spans="1:4" x14ac:dyDescent="0.35">
      <c r="A81" s="15" t="s">
        <v>43</v>
      </c>
      <c r="B81" s="18" t="s">
        <v>7</v>
      </c>
      <c r="C81" s="28">
        <v>113.42</v>
      </c>
      <c r="D81" s="12">
        <v>0.15</v>
      </c>
    </row>
    <row r="82" spans="1:4" x14ac:dyDescent="0.35">
      <c r="A82" s="15" t="s">
        <v>43</v>
      </c>
      <c r="B82" s="18" t="s">
        <v>8</v>
      </c>
      <c r="C82" s="28">
        <v>124.88</v>
      </c>
      <c r="D82" s="12">
        <v>0.15</v>
      </c>
    </row>
    <row r="83" spans="1:4" x14ac:dyDescent="0.35">
      <c r="A83" s="15" t="s">
        <v>53</v>
      </c>
      <c r="B83" s="18" t="s">
        <v>10</v>
      </c>
      <c r="C83" s="28">
        <v>274.22000000000003</v>
      </c>
      <c r="D83" s="12">
        <v>0.15</v>
      </c>
    </row>
    <row r="84" spans="1:4" x14ac:dyDescent="0.35">
      <c r="A84" s="15" t="s">
        <v>53</v>
      </c>
      <c r="B84" s="18" t="s">
        <v>27</v>
      </c>
      <c r="C84" s="28">
        <v>268.36</v>
      </c>
      <c r="D84" s="12">
        <v>0.3</v>
      </c>
    </row>
    <row r="85" spans="1:4" x14ac:dyDescent="0.35">
      <c r="A85" s="15" t="s">
        <v>54</v>
      </c>
      <c r="B85" s="16" t="s">
        <v>10</v>
      </c>
      <c r="C85" s="27">
        <v>38.18</v>
      </c>
      <c r="D85" s="12">
        <v>0.15</v>
      </c>
    </row>
    <row r="86" spans="1:4" x14ac:dyDescent="0.35">
      <c r="A86" s="15" t="s">
        <v>54</v>
      </c>
      <c r="B86" s="16" t="s">
        <v>8</v>
      </c>
      <c r="C86" s="27">
        <v>68.489999999999995</v>
      </c>
      <c r="D86" s="12">
        <v>0.15</v>
      </c>
    </row>
    <row r="87" spans="1:4" x14ac:dyDescent="0.35">
      <c r="A87" s="15" t="s">
        <v>54</v>
      </c>
      <c r="B87" s="16" t="s">
        <v>11</v>
      </c>
      <c r="C87" s="27">
        <v>2.29</v>
      </c>
      <c r="D87" s="12">
        <v>0.15</v>
      </c>
    </row>
    <row r="88" spans="1:4" x14ac:dyDescent="0.35">
      <c r="A88" s="15" t="s">
        <v>54</v>
      </c>
      <c r="B88" s="16" t="s">
        <v>59</v>
      </c>
      <c r="C88" s="27">
        <v>8.39</v>
      </c>
      <c r="D88" s="12">
        <v>0.15</v>
      </c>
    </row>
    <row r="89" spans="1:4" x14ac:dyDescent="0.35">
      <c r="A89" s="15" t="s">
        <v>54</v>
      </c>
      <c r="B89" s="16" t="s">
        <v>60</v>
      </c>
      <c r="C89" s="27">
        <v>3.43</v>
      </c>
      <c r="D89" s="12">
        <v>0.15</v>
      </c>
    </row>
    <row r="90" spans="1:4" x14ac:dyDescent="0.35">
      <c r="A90" s="15" t="s">
        <v>54</v>
      </c>
      <c r="B90" s="16" t="s">
        <v>27</v>
      </c>
      <c r="C90" s="27">
        <v>63.4</v>
      </c>
      <c r="D90" s="12">
        <v>0.3</v>
      </c>
    </row>
    <row r="91" spans="1:4" x14ac:dyDescent="0.35">
      <c r="A91" s="15" t="s">
        <v>54</v>
      </c>
      <c r="B91" s="16" t="s">
        <v>18</v>
      </c>
      <c r="C91" s="27">
        <v>56.15</v>
      </c>
      <c r="D91" s="12">
        <v>0.3</v>
      </c>
    </row>
    <row r="92" spans="1:4" x14ac:dyDescent="0.35">
      <c r="A92" s="15" t="s">
        <v>54</v>
      </c>
      <c r="B92" s="16" t="s">
        <v>58</v>
      </c>
      <c r="C92" s="27">
        <v>45.96</v>
      </c>
      <c r="D92" s="12">
        <v>0</v>
      </c>
    </row>
    <row r="93" spans="1:4" x14ac:dyDescent="0.35">
      <c r="A93" s="15" t="s">
        <v>55</v>
      </c>
      <c r="B93" s="18" t="s">
        <v>10</v>
      </c>
      <c r="C93" s="28">
        <v>82.7</v>
      </c>
      <c r="D93" s="12">
        <v>0.15</v>
      </c>
    </row>
    <row r="94" spans="1:4" x14ac:dyDescent="0.35">
      <c r="A94" s="15" t="s">
        <v>55</v>
      </c>
      <c r="B94" s="18" t="s">
        <v>27</v>
      </c>
      <c r="C94" s="28">
        <v>180</v>
      </c>
      <c r="D94" s="12">
        <v>0.3</v>
      </c>
    </row>
    <row r="95" spans="1:4" x14ac:dyDescent="0.35">
      <c r="A95" s="15" t="s">
        <v>56</v>
      </c>
      <c r="B95" s="18" t="s">
        <v>10</v>
      </c>
      <c r="C95" s="28">
        <v>23</v>
      </c>
      <c r="D95" s="12">
        <v>0.15</v>
      </c>
    </row>
    <row r="96" spans="1:4" x14ac:dyDescent="0.35">
      <c r="A96" s="15" t="s">
        <v>57</v>
      </c>
      <c r="B96" s="18" t="s">
        <v>61</v>
      </c>
      <c r="C96" s="28">
        <v>40</v>
      </c>
      <c r="D96" s="12">
        <v>0.75</v>
      </c>
    </row>
    <row r="97" spans="1:4" x14ac:dyDescent="0.35">
      <c r="A97" s="15" t="s">
        <v>57</v>
      </c>
      <c r="B97" s="18" t="s">
        <v>10</v>
      </c>
      <c r="C97" s="28">
        <v>30</v>
      </c>
      <c r="D97" s="12">
        <v>0.15</v>
      </c>
    </row>
    <row r="98" spans="1:4" x14ac:dyDescent="0.35">
      <c r="A98" s="15" t="s">
        <v>57</v>
      </c>
      <c r="B98" s="16" t="s">
        <v>62</v>
      </c>
      <c r="C98" s="27">
        <v>10</v>
      </c>
      <c r="D98" s="12">
        <v>1</v>
      </c>
    </row>
    <row r="99" spans="1:4" x14ac:dyDescent="0.35">
      <c r="A99" s="15" t="s">
        <v>57</v>
      </c>
      <c r="B99" s="16" t="s">
        <v>31</v>
      </c>
      <c r="C99" s="27">
        <v>4</v>
      </c>
      <c r="D99" s="12">
        <v>0</v>
      </c>
    </row>
    <row r="100" spans="1:4" x14ac:dyDescent="0.35">
      <c r="A100" s="15" t="s">
        <v>57</v>
      </c>
      <c r="B100" s="19" t="s">
        <v>63</v>
      </c>
      <c r="C100" s="27">
        <v>26</v>
      </c>
      <c r="D100" s="12">
        <v>0</v>
      </c>
    </row>
    <row r="101" spans="1:4" x14ac:dyDescent="0.35">
      <c r="A101" s="15" t="s">
        <v>57</v>
      </c>
      <c r="B101" s="18" t="s">
        <v>27</v>
      </c>
      <c r="C101" s="28">
        <v>220</v>
      </c>
      <c r="D101" s="12">
        <v>0.3</v>
      </c>
    </row>
    <row r="102" spans="1:4" x14ac:dyDescent="0.35">
      <c r="A102" s="15" t="s">
        <v>66</v>
      </c>
      <c r="B102" s="16" t="s">
        <v>10</v>
      </c>
      <c r="C102" s="27">
        <v>289.91000000000003</v>
      </c>
      <c r="D102" s="12">
        <v>0.15</v>
      </c>
    </row>
    <row r="103" spans="1:4" x14ac:dyDescent="0.35">
      <c r="A103" s="15" t="s">
        <v>66</v>
      </c>
      <c r="B103" s="18" t="s">
        <v>27</v>
      </c>
      <c r="C103" s="28">
        <v>119.77</v>
      </c>
      <c r="D103" s="12">
        <v>0.3</v>
      </c>
    </row>
    <row r="104" spans="1:4" x14ac:dyDescent="0.35">
      <c r="A104" s="15" t="s">
        <v>66</v>
      </c>
      <c r="B104" s="18" t="s">
        <v>64</v>
      </c>
      <c r="C104" s="28">
        <v>26.46</v>
      </c>
      <c r="D104" s="12">
        <v>0.5</v>
      </c>
    </row>
    <row r="105" spans="1:4" x14ac:dyDescent="0.35">
      <c r="A105" s="15" t="s">
        <v>67</v>
      </c>
      <c r="B105" s="16" t="s">
        <v>10</v>
      </c>
      <c r="C105" s="30">
        <v>235</v>
      </c>
      <c r="D105" s="12">
        <v>0.15</v>
      </c>
    </row>
    <row r="106" spans="1:4" x14ac:dyDescent="0.35">
      <c r="A106" s="15" t="s">
        <v>67</v>
      </c>
      <c r="B106" s="18" t="s">
        <v>27</v>
      </c>
      <c r="C106" s="29">
        <v>160</v>
      </c>
      <c r="D106" s="12">
        <v>0.3</v>
      </c>
    </row>
    <row r="107" spans="1:4" x14ac:dyDescent="0.35">
      <c r="A107" s="15" t="s">
        <v>72</v>
      </c>
      <c r="B107" s="18" t="s">
        <v>3</v>
      </c>
      <c r="C107" s="28">
        <v>33.409999999999997</v>
      </c>
      <c r="D107" s="12">
        <v>0</v>
      </c>
    </row>
    <row r="108" spans="1:4" x14ac:dyDescent="0.35">
      <c r="A108" s="15" t="s">
        <v>72</v>
      </c>
      <c r="B108" s="18" t="s">
        <v>10</v>
      </c>
      <c r="C108" s="28">
        <v>20.3</v>
      </c>
      <c r="D108" s="12">
        <v>0.15</v>
      </c>
    </row>
    <row r="109" spans="1:4" x14ac:dyDescent="0.35">
      <c r="A109" s="15" t="s">
        <v>72</v>
      </c>
      <c r="B109" s="18" t="s">
        <v>59</v>
      </c>
      <c r="C109" s="28">
        <v>2.8100000000000023</v>
      </c>
      <c r="D109" s="12">
        <v>0.15</v>
      </c>
    </row>
    <row r="110" spans="1:4" x14ac:dyDescent="0.35">
      <c r="A110" s="15" t="s">
        <v>72</v>
      </c>
      <c r="B110" s="18" t="s">
        <v>27</v>
      </c>
      <c r="C110" s="28">
        <v>28.2</v>
      </c>
      <c r="D110" s="12">
        <v>0.3</v>
      </c>
    </row>
    <row r="111" spans="1:4" x14ac:dyDescent="0.35">
      <c r="A111" s="15" t="s">
        <v>72</v>
      </c>
      <c r="B111" s="18" t="s">
        <v>64</v>
      </c>
      <c r="C111" s="28">
        <v>18.28</v>
      </c>
      <c r="D111" s="12">
        <v>0.5</v>
      </c>
    </row>
    <row r="112" spans="1:4" x14ac:dyDescent="0.35">
      <c r="A112" s="15" t="s">
        <v>74</v>
      </c>
      <c r="B112" s="18" t="s">
        <v>120</v>
      </c>
      <c r="C112" s="28">
        <v>27.76</v>
      </c>
      <c r="D112" s="12">
        <v>0.15</v>
      </c>
    </row>
    <row r="113" spans="1:4" x14ac:dyDescent="0.35">
      <c r="A113" s="15" t="s">
        <v>74</v>
      </c>
      <c r="B113" s="18" t="s">
        <v>10</v>
      </c>
      <c r="C113" s="28">
        <v>93.54</v>
      </c>
      <c r="D113" s="12">
        <v>0.15</v>
      </c>
    </row>
    <row r="114" spans="1:4" x14ac:dyDescent="0.35">
      <c r="A114" s="15" t="s">
        <v>74</v>
      </c>
      <c r="B114" s="18" t="s">
        <v>64</v>
      </c>
      <c r="C114" s="28">
        <v>40.24</v>
      </c>
      <c r="D114" s="12">
        <v>0.5</v>
      </c>
    </row>
    <row r="115" spans="1:4" x14ac:dyDescent="0.35">
      <c r="A115" s="15" t="s">
        <v>76</v>
      </c>
      <c r="B115" s="18" t="s">
        <v>3</v>
      </c>
      <c r="C115" s="28">
        <v>50</v>
      </c>
      <c r="D115" s="12">
        <v>0</v>
      </c>
    </row>
    <row r="116" spans="1:4" x14ac:dyDescent="0.35">
      <c r="A116" s="15" t="s">
        <v>76</v>
      </c>
      <c r="B116" s="18" t="s">
        <v>10</v>
      </c>
      <c r="C116" s="28">
        <v>2150</v>
      </c>
      <c r="D116" s="12">
        <v>0.15</v>
      </c>
    </row>
    <row r="117" spans="1:4" x14ac:dyDescent="0.35">
      <c r="A117" s="15" t="s">
        <v>76</v>
      </c>
      <c r="B117" s="18" t="s">
        <v>75</v>
      </c>
      <c r="C117" s="28">
        <v>250</v>
      </c>
      <c r="D117" s="12">
        <v>0</v>
      </c>
    </row>
    <row r="118" spans="1:4" x14ac:dyDescent="0.35">
      <c r="A118" s="15" t="s">
        <v>76</v>
      </c>
      <c r="B118" s="18" t="s">
        <v>27</v>
      </c>
      <c r="C118" s="28">
        <v>350</v>
      </c>
      <c r="D118" s="12">
        <v>0.3</v>
      </c>
    </row>
    <row r="119" spans="1:4" s="2" customFormat="1" x14ac:dyDescent="0.35">
      <c r="A119" s="15" t="s">
        <v>77</v>
      </c>
      <c r="B119" s="22" t="s">
        <v>27</v>
      </c>
      <c r="C119" s="43">
        <v>58</v>
      </c>
      <c r="D119" s="15">
        <v>0.3</v>
      </c>
    </row>
    <row r="120" spans="1:4" x14ac:dyDescent="0.35">
      <c r="A120" s="15" t="s">
        <v>81</v>
      </c>
      <c r="B120" s="16" t="s">
        <v>80</v>
      </c>
      <c r="C120" s="28">
        <v>15</v>
      </c>
      <c r="D120" s="12">
        <v>0.5</v>
      </c>
    </row>
    <row r="121" spans="1:4" x14ac:dyDescent="0.35">
      <c r="A121" s="20" t="s">
        <v>81</v>
      </c>
      <c r="B121" s="18" t="s">
        <v>79</v>
      </c>
      <c r="C121" s="28">
        <v>15</v>
      </c>
      <c r="D121" s="12">
        <v>0</v>
      </c>
    </row>
    <row r="122" spans="1:4" x14ac:dyDescent="0.35">
      <c r="A122" s="15" t="s">
        <v>81</v>
      </c>
      <c r="B122" s="16" t="s">
        <v>3</v>
      </c>
      <c r="C122" s="28">
        <v>60</v>
      </c>
      <c r="D122" s="12">
        <v>0</v>
      </c>
    </row>
    <row r="123" spans="1:4" x14ac:dyDescent="0.35">
      <c r="A123" s="15" t="s">
        <v>81</v>
      </c>
      <c r="B123" s="18" t="s">
        <v>10</v>
      </c>
      <c r="C123" s="28">
        <v>100</v>
      </c>
      <c r="D123" s="12">
        <v>0.15</v>
      </c>
    </row>
    <row r="124" spans="1:4" x14ac:dyDescent="0.35">
      <c r="A124" s="15" t="s">
        <v>81</v>
      </c>
      <c r="B124" s="18" t="s">
        <v>12</v>
      </c>
      <c r="C124" s="28">
        <v>30</v>
      </c>
      <c r="D124" s="12">
        <v>0.3</v>
      </c>
    </row>
    <row r="125" spans="1:4" x14ac:dyDescent="0.35">
      <c r="A125" s="15" t="s">
        <v>82</v>
      </c>
      <c r="B125" s="18" t="s">
        <v>3</v>
      </c>
      <c r="C125" s="28">
        <v>60</v>
      </c>
      <c r="D125" s="12">
        <v>0</v>
      </c>
    </row>
    <row r="126" spans="1:4" x14ac:dyDescent="0.35">
      <c r="A126" s="15" t="s">
        <v>82</v>
      </c>
      <c r="B126" s="18" t="s">
        <v>10</v>
      </c>
      <c r="C126" s="28">
        <v>180</v>
      </c>
      <c r="D126" s="12">
        <v>0.15</v>
      </c>
    </row>
    <row r="127" spans="1:4" x14ac:dyDescent="0.35">
      <c r="A127" s="15" t="s">
        <v>82</v>
      </c>
      <c r="B127" s="18" t="s">
        <v>83</v>
      </c>
      <c r="C127" s="28">
        <v>9</v>
      </c>
      <c r="D127" s="12">
        <v>1</v>
      </c>
    </row>
    <row r="128" spans="1:4" x14ac:dyDescent="0.35">
      <c r="A128" s="15" t="s">
        <v>84</v>
      </c>
      <c r="B128" s="18" t="s">
        <v>3</v>
      </c>
      <c r="C128" s="28">
        <v>250</v>
      </c>
      <c r="D128" s="12">
        <v>0</v>
      </c>
    </row>
    <row r="129" spans="1:4" x14ac:dyDescent="0.35">
      <c r="A129" s="15" t="s">
        <v>84</v>
      </c>
      <c r="B129" s="18" t="s">
        <v>10</v>
      </c>
      <c r="C129" s="28">
        <v>1090</v>
      </c>
      <c r="D129" s="12">
        <v>0.15</v>
      </c>
    </row>
    <row r="130" spans="1:4" x14ac:dyDescent="0.35">
      <c r="A130" s="15" t="s">
        <v>84</v>
      </c>
      <c r="B130" s="18" t="s">
        <v>27</v>
      </c>
      <c r="C130" s="28">
        <v>260</v>
      </c>
      <c r="D130" s="12">
        <v>0.3</v>
      </c>
    </row>
    <row r="131" spans="1:4" x14ac:dyDescent="0.35">
      <c r="A131" s="15" t="s">
        <v>84</v>
      </c>
      <c r="B131" s="18" t="s">
        <v>12</v>
      </c>
      <c r="C131" s="28">
        <v>400</v>
      </c>
      <c r="D131" s="12">
        <v>0.3</v>
      </c>
    </row>
    <row r="132" spans="1:4" x14ac:dyDescent="0.35">
      <c r="A132" s="15" t="s">
        <v>85</v>
      </c>
      <c r="B132" s="18" t="s">
        <v>44</v>
      </c>
      <c r="C132" s="28">
        <v>25</v>
      </c>
      <c r="D132" s="12">
        <v>0</v>
      </c>
    </row>
    <row r="133" spans="1:4" x14ac:dyDescent="0.35">
      <c r="A133" s="15" t="s">
        <v>85</v>
      </c>
      <c r="B133" s="18" t="s">
        <v>3</v>
      </c>
      <c r="C133" s="28">
        <v>45</v>
      </c>
      <c r="D133" s="12">
        <v>0</v>
      </c>
    </row>
    <row r="134" spans="1:4" x14ac:dyDescent="0.35">
      <c r="A134" s="15" t="s">
        <v>85</v>
      </c>
      <c r="B134" s="18" t="s">
        <v>10</v>
      </c>
      <c r="C134" s="28">
        <f>700-C135-C136-C137-C138</f>
        <v>373</v>
      </c>
      <c r="D134" s="12">
        <v>0.15</v>
      </c>
    </row>
    <row r="135" spans="1:4" x14ac:dyDescent="0.35">
      <c r="A135" s="15" t="s">
        <v>85</v>
      </c>
      <c r="B135" s="18" t="s">
        <v>59</v>
      </c>
      <c r="C135" s="28">
        <v>20</v>
      </c>
      <c r="D135" s="12">
        <v>0.15</v>
      </c>
    </row>
    <row r="136" spans="1:4" x14ac:dyDescent="0.35">
      <c r="A136" s="15" t="s">
        <v>85</v>
      </c>
      <c r="B136" s="18" t="s">
        <v>27</v>
      </c>
      <c r="C136" s="28">
        <v>250</v>
      </c>
      <c r="D136" s="12">
        <v>0.3</v>
      </c>
    </row>
    <row r="137" spans="1:4" x14ac:dyDescent="0.35">
      <c r="A137" s="21" t="s">
        <v>97</v>
      </c>
      <c r="B137" s="18" t="s">
        <v>27</v>
      </c>
      <c r="C137" s="28">
        <v>55</v>
      </c>
      <c r="D137" s="12">
        <v>0.3</v>
      </c>
    </row>
    <row r="138" spans="1:4" x14ac:dyDescent="0.35">
      <c r="A138" s="21" t="s">
        <v>98</v>
      </c>
      <c r="B138" s="22" t="s">
        <v>3</v>
      </c>
      <c r="C138" s="29">
        <v>2</v>
      </c>
      <c r="D138" s="12">
        <v>0</v>
      </c>
    </row>
    <row r="139" spans="1:4" x14ac:dyDescent="0.35">
      <c r="A139" s="21" t="s">
        <v>98</v>
      </c>
      <c r="B139" s="22" t="s">
        <v>10</v>
      </c>
      <c r="C139" s="30">
        <f>330-C138-C140-C141</f>
        <v>276</v>
      </c>
      <c r="D139" s="12">
        <v>0.15</v>
      </c>
    </row>
    <row r="140" spans="1:4" x14ac:dyDescent="0.35">
      <c r="A140" s="21" t="s">
        <v>98</v>
      </c>
      <c r="B140" s="22" t="s">
        <v>99</v>
      </c>
      <c r="C140" s="29">
        <v>7</v>
      </c>
      <c r="D140" s="12">
        <v>0</v>
      </c>
    </row>
    <row r="141" spans="1:4" x14ac:dyDescent="0.35">
      <c r="A141" s="21" t="s">
        <v>98</v>
      </c>
      <c r="B141" s="22" t="s">
        <v>27</v>
      </c>
      <c r="C141" s="29">
        <v>45</v>
      </c>
      <c r="D141" s="12">
        <v>0.3</v>
      </c>
    </row>
    <row r="142" spans="1:4" x14ac:dyDescent="0.35">
      <c r="A142" s="21" t="s">
        <v>100</v>
      </c>
      <c r="B142" s="22" t="s">
        <v>3</v>
      </c>
      <c r="C142" s="29">
        <v>40</v>
      </c>
      <c r="D142" s="12">
        <v>0</v>
      </c>
    </row>
    <row r="143" spans="1:4" x14ac:dyDescent="0.35">
      <c r="A143" s="21" t="s">
        <v>100</v>
      </c>
      <c r="B143" s="22" t="s">
        <v>101</v>
      </c>
      <c r="C143" s="29">
        <v>25</v>
      </c>
      <c r="D143" s="12">
        <v>0</v>
      </c>
    </row>
    <row r="144" spans="1:4" x14ac:dyDescent="0.35">
      <c r="A144" s="21" t="s">
        <v>100</v>
      </c>
      <c r="B144" s="22" t="s">
        <v>10</v>
      </c>
      <c r="C144" s="29">
        <v>120</v>
      </c>
      <c r="D144" s="12">
        <v>0.15</v>
      </c>
    </row>
    <row r="145" spans="1:4" x14ac:dyDescent="0.35">
      <c r="A145" s="21" t="s">
        <v>102</v>
      </c>
      <c r="B145" s="23" t="s">
        <v>2</v>
      </c>
      <c r="C145" s="31">
        <v>30</v>
      </c>
      <c r="D145" s="12">
        <v>0</v>
      </c>
    </row>
    <row r="146" spans="1:4" x14ac:dyDescent="0.35">
      <c r="A146" s="21" t="s">
        <v>102</v>
      </c>
      <c r="B146" s="23" t="s">
        <v>3</v>
      </c>
      <c r="C146" s="31">
        <v>200</v>
      </c>
      <c r="D146" s="12">
        <v>0</v>
      </c>
    </row>
    <row r="147" spans="1:4" x14ac:dyDescent="0.35">
      <c r="A147" s="21" t="s">
        <v>102</v>
      </c>
      <c r="B147" s="23" t="s">
        <v>103</v>
      </c>
      <c r="C147" s="31">
        <v>30</v>
      </c>
      <c r="D147" s="12">
        <v>0</v>
      </c>
    </row>
    <row r="148" spans="1:4" x14ac:dyDescent="0.35">
      <c r="A148" s="21" t="s">
        <v>102</v>
      </c>
      <c r="B148" s="23" t="s">
        <v>10</v>
      </c>
      <c r="C148" s="31">
        <f>1000+260</f>
        <v>1260</v>
      </c>
      <c r="D148" s="12">
        <v>0.15</v>
      </c>
    </row>
    <row r="149" spans="1:4" x14ac:dyDescent="0.35">
      <c r="A149" s="21" t="s">
        <v>102</v>
      </c>
      <c r="B149" s="23" t="s">
        <v>11</v>
      </c>
      <c r="C149" s="31">
        <v>582</v>
      </c>
      <c r="D149" s="12">
        <v>0.15</v>
      </c>
    </row>
    <row r="150" spans="1:4" x14ac:dyDescent="0.35">
      <c r="A150" s="21" t="s">
        <v>104</v>
      </c>
      <c r="B150" s="23" t="s">
        <v>10</v>
      </c>
      <c r="C150" s="31">
        <f>370/2</f>
        <v>185</v>
      </c>
      <c r="D150" s="12">
        <v>0.15</v>
      </c>
    </row>
    <row r="151" spans="1:4" x14ac:dyDescent="0.35">
      <c r="A151" s="21" t="s">
        <v>104</v>
      </c>
      <c r="B151" s="23" t="s">
        <v>11</v>
      </c>
      <c r="C151" s="31">
        <v>185</v>
      </c>
      <c r="D151" s="12">
        <v>0.15</v>
      </c>
    </row>
    <row r="152" spans="1:4" x14ac:dyDescent="0.35">
      <c r="A152" s="23" t="s">
        <v>105</v>
      </c>
      <c r="B152" s="11" t="s">
        <v>3</v>
      </c>
      <c r="C152" s="12">
        <v>40</v>
      </c>
      <c r="D152" s="23">
        <v>0</v>
      </c>
    </row>
    <row r="153" spans="1:4" x14ac:dyDescent="0.35">
      <c r="A153" s="23" t="s">
        <v>105</v>
      </c>
      <c r="B153" s="11" t="s">
        <v>106</v>
      </c>
      <c r="C153" s="12">
        <v>5</v>
      </c>
      <c r="D153" s="23">
        <v>1</v>
      </c>
    </row>
    <row r="154" spans="1:4" x14ac:dyDescent="0.35">
      <c r="A154" s="23" t="s">
        <v>105</v>
      </c>
      <c r="B154" s="11" t="s">
        <v>10</v>
      </c>
      <c r="C154" s="12">
        <v>140</v>
      </c>
      <c r="D154" s="23">
        <v>0.15</v>
      </c>
    </row>
    <row r="155" spans="1:4" x14ac:dyDescent="0.35">
      <c r="A155" s="23" t="s">
        <v>105</v>
      </c>
      <c r="B155" s="11" t="s">
        <v>11</v>
      </c>
      <c r="C155" s="12">
        <f>350-185</f>
        <v>165</v>
      </c>
      <c r="D155" s="23">
        <v>0.15</v>
      </c>
    </row>
    <row r="156" spans="1:4" x14ac:dyDescent="0.35">
      <c r="A156" s="23" t="s">
        <v>107</v>
      </c>
      <c r="B156" s="11" t="s">
        <v>108</v>
      </c>
      <c r="C156" s="12">
        <v>30</v>
      </c>
      <c r="D156" s="23">
        <v>0</v>
      </c>
    </row>
    <row r="157" spans="1:4" x14ac:dyDescent="0.35">
      <c r="A157" s="23" t="s">
        <v>107</v>
      </c>
      <c r="B157" s="11" t="s">
        <v>3</v>
      </c>
      <c r="C157" s="12">
        <v>40</v>
      </c>
      <c r="D157" s="23">
        <v>0</v>
      </c>
    </row>
    <row r="158" spans="1:4" x14ac:dyDescent="0.35">
      <c r="A158" s="23" t="s">
        <v>107</v>
      </c>
      <c r="B158" s="11" t="s">
        <v>10</v>
      </c>
      <c r="C158" s="12">
        <v>251</v>
      </c>
      <c r="D158" s="23">
        <v>0.15</v>
      </c>
    </row>
    <row r="159" spans="1:4" x14ac:dyDescent="0.35">
      <c r="A159" s="23" t="s">
        <v>107</v>
      </c>
      <c r="B159" s="11" t="s">
        <v>11</v>
      </c>
      <c r="C159" s="12">
        <v>60</v>
      </c>
      <c r="D159" s="24">
        <v>0.15</v>
      </c>
    </row>
    <row r="160" spans="1:4" x14ac:dyDescent="0.35">
      <c r="A160" s="20" t="s">
        <v>109</v>
      </c>
      <c r="B160" s="11" t="s">
        <v>10</v>
      </c>
      <c r="C160" s="13">
        <v>730</v>
      </c>
      <c r="D160" s="25">
        <v>0.15</v>
      </c>
    </row>
    <row r="161" spans="1:4" x14ac:dyDescent="0.35">
      <c r="A161" s="20" t="s">
        <v>110</v>
      </c>
      <c r="B161" s="24" t="s">
        <v>26</v>
      </c>
      <c r="C161" s="31">
        <v>15</v>
      </c>
      <c r="D161" s="25">
        <v>0</v>
      </c>
    </row>
    <row r="162" spans="1:4" x14ac:dyDescent="0.35">
      <c r="A162" s="20" t="s">
        <v>110</v>
      </c>
      <c r="B162" s="44" t="s">
        <v>111</v>
      </c>
      <c r="C162" s="31">
        <v>30</v>
      </c>
      <c r="D162" s="25">
        <v>0</v>
      </c>
    </row>
    <row r="163" spans="1:4" x14ac:dyDescent="0.35">
      <c r="A163" s="20" t="s">
        <v>110</v>
      </c>
      <c r="B163" s="24" t="s">
        <v>11</v>
      </c>
      <c r="C163" s="31">
        <v>85</v>
      </c>
      <c r="D163" s="25">
        <v>0.15</v>
      </c>
    </row>
    <row r="164" spans="1:4" x14ac:dyDescent="0.35">
      <c r="A164" s="20" t="s">
        <v>110</v>
      </c>
      <c r="B164" s="24" t="s">
        <v>27</v>
      </c>
      <c r="C164" s="31">
        <v>60</v>
      </c>
      <c r="D164" s="25">
        <v>0.3</v>
      </c>
    </row>
    <row r="165" spans="1:4" x14ac:dyDescent="0.35">
      <c r="A165" s="20" t="s">
        <v>112</v>
      </c>
      <c r="B165" s="24" t="s">
        <v>3</v>
      </c>
      <c r="C165" s="31">
        <v>30</v>
      </c>
      <c r="D165" s="25">
        <v>0</v>
      </c>
    </row>
    <row r="166" spans="1:4" x14ac:dyDescent="0.35">
      <c r="A166" s="20" t="s">
        <v>112</v>
      </c>
      <c r="B166" s="24" t="s">
        <v>10</v>
      </c>
      <c r="C166" s="31">
        <v>403</v>
      </c>
      <c r="D166" s="25">
        <v>0.15</v>
      </c>
    </row>
    <row r="167" spans="1:4" x14ac:dyDescent="0.35">
      <c r="A167" s="20" t="s">
        <v>113</v>
      </c>
      <c r="B167" s="24" t="s">
        <v>101</v>
      </c>
      <c r="C167" s="31">
        <v>20</v>
      </c>
      <c r="D167" s="25">
        <v>0</v>
      </c>
    </row>
    <row r="168" spans="1:4" x14ac:dyDescent="0.35">
      <c r="A168" s="20" t="s">
        <v>113</v>
      </c>
      <c r="B168" s="24" t="s">
        <v>10</v>
      </c>
      <c r="C168" s="31">
        <v>300</v>
      </c>
      <c r="D168" s="25">
        <v>0.15</v>
      </c>
    </row>
    <row r="169" spans="1:4" x14ac:dyDescent="0.35">
      <c r="A169" s="20" t="s">
        <v>114</v>
      </c>
      <c r="B169" s="24" t="s">
        <v>120</v>
      </c>
      <c r="C169" s="31">
        <f>1600-C170</f>
        <v>1450</v>
      </c>
      <c r="D169" s="25">
        <v>0.15</v>
      </c>
    </row>
    <row r="170" spans="1:4" x14ac:dyDescent="0.35">
      <c r="A170" s="20" t="s">
        <v>114</v>
      </c>
      <c r="B170" s="24" t="s">
        <v>121</v>
      </c>
      <c r="C170" s="31">
        <v>150</v>
      </c>
      <c r="D170" s="25">
        <v>0.3</v>
      </c>
    </row>
    <row r="171" spans="1:4" x14ac:dyDescent="0.35">
      <c r="A171" s="20" t="s">
        <v>114</v>
      </c>
      <c r="B171" s="24" t="s">
        <v>10</v>
      </c>
      <c r="C171" s="31">
        <f>200-C172</f>
        <v>80</v>
      </c>
      <c r="D171" s="25">
        <v>0.15</v>
      </c>
    </row>
    <row r="172" spans="1:4" x14ac:dyDescent="0.35">
      <c r="A172" s="20" t="s">
        <v>114</v>
      </c>
      <c r="B172" s="24" t="s">
        <v>27</v>
      </c>
      <c r="C172" s="31">
        <v>120</v>
      </c>
      <c r="D172" s="25">
        <v>0.3</v>
      </c>
    </row>
    <row r="173" spans="1:4" x14ac:dyDescent="0.35">
      <c r="A173" s="20" t="s">
        <v>115</v>
      </c>
      <c r="B173" s="33" t="s">
        <v>3</v>
      </c>
      <c r="C173" s="34">
        <v>10</v>
      </c>
      <c r="D173" s="25">
        <v>0</v>
      </c>
    </row>
    <row r="174" spans="1:4" x14ac:dyDescent="0.35">
      <c r="A174" s="20" t="s">
        <v>115</v>
      </c>
      <c r="B174" s="33" t="s">
        <v>10</v>
      </c>
      <c r="C174" s="34">
        <f>86</f>
        <v>86</v>
      </c>
      <c r="D174" s="25">
        <v>0.15</v>
      </c>
    </row>
    <row r="175" spans="1:4" x14ac:dyDescent="0.35">
      <c r="A175" s="20" t="s">
        <v>115</v>
      </c>
      <c r="B175" s="33" t="s">
        <v>27</v>
      </c>
      <c r="C175" s="34">
        <v>54</v>
      </c>
      <c r="D175" s="25">
        <v>0.3</v>
      </c>
    </row>
    <row r="176" spans="1:4" x14ac:dyDescent="0.35">
      <c r="A176" s="20" t="s">
        <v>116</v>
      </c>
      <c r="B176" s="24" t="s">
        <v>59</v>
      </c>
      <c r="C176" s="35">
        <v>41.99</v>
      </c>
      <c r="D176" s="25">
        <v>0.15</v>
      </c>
    </row>
    <row r="177" spans="1:4" x14ac:dyDescent="0.35">
      <c r="A177" s="20" t="s">
        <v>116</v>
      </c>
      <c r="B177" s="24" t="s">
        <v>27</v>
      </c>
      <c r="C177" s="35">
        <v>228.87</v>
      </c>
      <c r="D177" s="25">
        <v>0.3</v>
      </c>
    </row>
    <row r="178" spans="1:4" x14ac:dyDescent="0.35">
      <c r="A178" s="20" t="s">
        <v>116</v>
      </c>
      <c r="B178" s="24" t="s">
        <v>117</v>
      </c>
      <c r="C178" s="35">
        <v>60</v>
      </c>
      <c r="D178" s="25">
        <v>0.3</v>
      </c>
    </row>
    <row r="179" spans="1:4" x14ac:dyDescent="0.35">
      <c r="A179" s="20" t="s">
        <v>116</v>
      </c>
      <c r="B179" s="24" t="s">
        <v>118</v>
      </c>
      <c r="C179" s="35">
        <v>25.42</v>
      </c>
      <c r="D179" s="25">
        <v>0</v>
      </c>
    </row>
    <row r="180" spans="1:4" x14ac:dyDescent="0.35">
      <c r="A180" s="20" t="s">
        <v>119</v>
      </c>
      <c r="B180" s="24" t="s">
        <v>44</v>
      </c>
      <c r="C180" s="24">
        <v>70</v>
      </c>
      <c r="D180" s="25">
        <v>0</v>
      </c>
    </row>
    <row r="181" spans="1:4" x14ac:dyDescent="0.35">
      <c r="A181" s="20" t="s">
        <v>119</v>
      </c>
      <c r="B181" s="24" t="s">
        <v>10</v>
      </c>
      <c r="C181" s="24">
        <v>170</v>
      </c>
      <c r="D181" s="25">
        <v>0.15</v>
      </c>
    </row>
    <row r="182" spans="1:4" x14ac:dyDescent="0.35">
      <c r="A182" s="20" t="s">
        <v>119</v>
      </c>
      <c r="B182" s="24" t="s">
        <v>10</v>
      </c>
      <c r="C182" s="24">
        <v>40</v>
      </c>
      <c r="D182" s="25">
        <v>0.15</v>
      </c>
    </row>
    <row r="183" spans="1:4" x14ac:dyDescent="0.35">
      <c r="A183" s="20" t="s">
        <v>119</v>
      </c>
      <c r="B183" s="24" t="s">
        <v>59</v>
      </c>
      <c r="C183" s="11">
        <v>70</v>
      </c>
      <c r="D183" s="25">
        <v>0.15</v>
      </c>
    </row>
    <row r="184" spans="1:4" x14ac:dyDescent="0.35">
      <c r="A184" s="20" t="s">
        <v>119</v>
      </c>
      <c r="B184" s="24" t="s">
        <v>27</v>
      </c>
      <c r="C184" s="11">
        <v>150</v>
      </c>
      <c r="D184" s="25">
        <v>0.3</v>
      </c>
    </row>
    <row r="186" spans="1:4" x14ac:dyDescent="0.35">
      <c r="D186" s="32"/>
    </row>
  </sheetData>
  <autoFilter ref="A1:D184" xr:uid="{3351B6A8-CFF4-426A-A4EC-B4DEAE811D8A}">
    <sortState xmlns:xlrd2="http://schemas.microsoft.com/office/spreadsheetml/2017/richdata2" ref="A2:D184">
      <sortCondition ref="A2:A184"/>
      <sortCondition ref="B2:B184"/>
    </sortState>
  </autoFilter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9"/>
  <sheetViews>
    <sheetView workbookViewId="0">
      <selection activeCell="F7" sqref="F7"/>
    </sheetView>
  </sheetViews>
  <sheetFormatPr defaultColWidth="11.1640625" defaultRowHeight="15.5" x14ac:dyDescent="0.35"/>
  <cols>
    <col min="1" max="1" width="28.6640625" customWidth="1"/>
    <col min="6" max="6" width="28.1640625" customWidth="1"/>
  </cols>
  <sheetData>
    <row r="1" spans="1:6" x14ac:dyDescent="0.35">
      <c r="A1" s="1" t="s">
        <v>87</v>
      </c>
      <c r="B1" s="2" t="s">
        <v>90</v>
      </c>
      <c r="C1" s="2" t="s">
        <v>91</v>
      </c>
      <c r="D1" s="2" t="s">
        <v>92</v>
      </c>
      <c r="E1" s="2" t="s">
        <v>93</v>
      </c>
      <c r="F1" s="4" t="s">
        <v>89</v>
      </c>
    </row>
    <row r="2" spans="1:6" x14ac:dyDescent="0.35">
      <c r="A2" s="6" t="s">
        <v>1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</row>
    <row r="3" spans="1:6" x14ac:dyDescent="0.35">
      <c r="A3" s="6" t="s">
        <v>2</v>
      </c>
      <c r="B3" t="s">
        <v>94</v>
      </c>
      <c r="C3" t="s">
        <v>94</v>
      </c>
      <c r="D3" t="s">
        <v>94</v>
      </c>
      <c r="E3" t="s">
        <v>94</v>
      </c>
      <c r="F3" t="s">
        <v>94</v>
      </c>
    </row>
    <row r="4" spans="1:6" x14ac:dyDescent="0.35">
      <c r="A4" s="6" t="s">
        <v>3</v>
      </c>
      <c r="B4" t="s">
        <v>94</v>
      </c>
      <c r="C4" t="s">
        <v>94</v>
      </c>
      <c r="D4" t="s">
        <v>94</v>
      </c>
      <c r="E4" t="s">
        <v>94</v>
      </c>
      <c r="F4" t="s">
        <v>94</v>
      </c>
    </row>
    <row r="5" spans="1:6" x14ac:dyDescent="0.35">
      <c r="A5" s="6" t="s">
        <v>4</v>
      </c>
      <c r="B5" t="s">
        <v>94</v>
      </c>
      <c r="C5" t="s">
        <v>94</v>
      </c>
      <c r="D5" t="s">
        <v>94</v>
      </c>
      <c r="E5" t="s">
        <v>94</v>
      </c>
      <c r="F5" t="s">
        <v>94</v>
      </c>
    </row>
    <row r="6" spans="1:6" x14ac:dyDescent="0.35">
      <c r="A6" s="7" t="s">
        <v>6</v>
      </c>
      <c r="B6" t="s">
        <v>94</v>
      </c>
      <c r="C6" t="s">
        <v>94</v>
      </c>
      <c r="D6" t="s">
        <v>94</v>
      </c>
      <c r="E6" t="s">
        <v>94</v>
      </c>
      <c r="F6" t="s">
        <v>94</v>
      </c>
    </row>
    <row r="7" spans="1:6" x14ac:dyDescent="0.35">
      <c r="A7" s="7" t="s">
        <v>7</v>
      </c>
      <c r="B7" t="s">
        <v>94</v>
      </c>
      <c r="C7" t="s">
        <v>94</v>
      </c>
      <c r="D7" t="s">
        <v>94</v>
      </c>
      <c r="E7" t="s">
        <v>94</v>
      </c>
      <c r="F7" t="s">
        <v>94</v>
      </c>
    </row>
    <row r="8" spans="1:6" x14ac:dyDescent="0.35">
      <c r="A8" s="7" t="s">
        <v>8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</row>
    <row r="9" spans="1:6" x14ac:dyDescent="0.35">
      <c r="A9" s="5" t="s">
        <v>9</v>
      </c>
      <c r="B9" t="s">
        <v>94</v>
      </c>
      <c r="C9" t="s">
        <v>94</v>
      </c>
      <c r="D9" t="s">
        <v>94</v>
      </c>
      <c r="E9" t="s">
        <v>94</v>
      </c>
      <c r="F9" t="s">
        <v>94</v>
      </c>
    </row>
    <row r="10" spans="1:6" x14ac:dyDescent="0.35">
      <c r="A10" s="8" t="s">
        <v>10</v>
      </c>
      <c r="B10" t="s">
        <v>94</v>
      </c>
      <c r="C10" t="s">
        <v>94</v>
      </c>
      <c r="D10" t="s">
        <v>94</v>
      </c>
      <c r="E10" t="s">
        <v>94</v>
      </c>
      <c r="F10" t="s">
        <v>94</v>
      </c>
    </row>
    <row r="11" spans="1:6" x14ac:dyDescent="0.35">
      <c r="A11" s="7" t="s">
        <v>11</v>
      </c>
      <c r="B11" t="s">
        <v>94</v>
      </c>
      <c r="C11" t="s">
        <v>94</v>
      </c>
      <c r="D11" t="s">
        <v>94</v>
      </c>
      <c r="E11" t="s">
        <v>94</v>
      </c>
      <c r="F11" t="s">
        <v>94</v>
      </c>
    </row>
    <row r="12" spans="1:6" x14ac:dyDescent="0.35">
      <c r="A12" s="5" t="s">
        <v>12</v>
      </c>
      <c r="B12" t="s">
        <v>94</v>
      </c>
      <c r="C12" t="s">
        <v>94</v>
      </c>
      <c r="D12" t="s">
        <v>94</v>
      </c>
      <c r="E12" t="s">
        <v>94</v>
      </c>
      <c r="F12" t="s">
        <v>94</v>
      </c>
    </row>
    <row r="13" spans="1:6" x14ac:dyDescent="0.35">
      <c r="A13" s="5" t="s">
        <v>17</v>
      </c>
      <c r="B13" t="s">
        <v>94</v>
      </c>
      <c r="C13" t="s">
        <v>94</v>
      </c>
      <c r="D13" t="s">
        <v>94</v>
      </c>
      <c r="E13" t="s">
        <v>94</v>
      </c>
      <c r="F13" t="s">
        <v>94</v>
      </c>
    </row>
    <row r="14" spans="1:6" x14ac:dyDescent="0.35">
      <c r="A14" s="5" t="s">
        <v>18</v>
      </c>
      <c r="B14" t="s">
        <v>94</v>
      </c>
      <c r="C14" t="s">
        <v>94</v>
      </c>
      <c r="D14" t="s">
        <v>94</v>
      </c>
      <c r="E14" t="s">
        <v>94</v>
      </c>
      <c r="F14" t="s">
        <v>94</v>
      </c>
    </row>
    <row r="15" spans="1:6" x14ac:dyDescent="0.35">
      <c r="A15" s="5" t="s">
        <v>19</v>
      </c>
      <c r="B15" t="s">
        <v>94</v>
      </c>
      <c r="C15" t="s">
        <v>94</v>
      </c>
      <c r="D15" t="s">
        <v>94</v>
      </c>
      <c r="E15" t="s">
        <v>94</v>
      </c>
      <c r="F15" t="s">
        <v>94</v>
      </c>
    </row>
    <row r="16" spans="1:6" x14ac:dyDescent="0.35">
      <c r="A16" s="5" t="s">
        <v>20</v>
      </c>
      <c r="B16" t="s">
        <v>94</v>
      </c>
      <c r="C16" t="s">
        <v>94</v>
      </c>
      <c r="D16" t="s">
        <v>94</v>
      </c>
      <c r="E16" t="s">
        <v>94</v>
      </c>
      <c r="F16" t="s">
        <v>94</v>
      </c>
    </row>
    <row r="17" spans="1:6" x14ac:dyDescent="0.35">
      <c r="A17" s="7" t="s">
        <v>21</v>
      </c>
      <c r="B17" t="s">
        <v>94</v>
      </c>
      <c r="C17" t="s">
        <v>94</v>
      </c>
      <c r="D17" t="s">
        <v>94</v>
      </c>
      <c r="E17" t="s">
        <v>94</v>
      </c>
      <c r="F17" t="s">
        <v>94</v>
      </c>
    </row>
    <row r="18" spans="1:6" x14ac:dyDescent="0.35">
      <c r="A18" s="7" t="s">
        <v>22</v>
      </c>
      <c r="B18" t="s">
        <v>94</v>
      </c>
      <c r="C18" t="s">
        <v>94</v>
      </c>
      <c r="D18" t="s">
        <v>94</v>
      </c>
      <c r="E18" t="s">
        <v>94</v>
      </c>
      <c r="F18" t="s">
        <v>94</v>
      </c>
    </row>
    <row r="19" spans="1:6" x14ac:dyDescent="0.35">
      <c r="A19" s="7" t="s">
        <v>23</v>
      </c>
      <c r="B19" t="s">
        <v>94</v>
      </c>
      <c r="C19" t="s">
        <v>94</v>
      </c>
      <c r="D19" t="s">
        <v>94</v>
      </c>
      <c r="E19" t="s">
        <v>94</v>
      </c>
      <c r="F19" t="s">
        <v>94</v>
      </c>
    </row>
    <row r="20" spans="1:6" x14ac:dyDescent="0.35">
      <c r="A20" s="7" t="s">
        <v>24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</row>
    <row r="21" spans="1:6" x14ac:dyDescent="0.35">
      <c r="A21" s="5" t="s">
        <v>27</v>
      </c>
      <c r="B21" t="s">
        <v>94</v>
      </c>
      <c r="C21" t="s">
        <v>94</v>
      </c>
      <c r="D21" t="s">
        <v>94</v>
      </c>
      <c r="E21" t="s">
        <v>94</v>
      </c>
      <c r="F21" t="s">
        <v>94</v>
      </c>
    </row>
    <row r="22" spans="1:6" x14ac:dyDescent="0.35">
      <c r="A22" s="5" t="s">
        <v>25</v>
      </c>
      <c r="B22" t="s">
        <v>94</v>
      </c>
      <c r="C22" t="s">
        <v>94</v>
      </c>
      <c r="D22" t="s">
        <v>94</v>
      </c>
      <c r="E22" t="s">
        <v>94</v>
      </c>
      <c r="F22" t="s">
        <v>94</v>
      </c>
    </row>
    <row r="23" spans="1:6" x14ac:dyDescent="0.35">
      <c r="A23" s="5" t="s">
        <v>26</v>
      </c>
      <c r="B23" t="s">
        <v>94</v>
      </c>
      <c r="C23" t="s">
        <v>94</v>
      </c>
      <c r="D23" t="s">
        <v>94</v>
      </c>
      <c r="E23" t="s">
        <v>94</v>
      </c>
      <c r="F23" t="s">
        <v>94</v>
      </c>
    </row>
    <row r="24" spans="1:6" x14ac:dyDescent="0.35">
      <c r="A24" s="5" t="s">
        <v>28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</row>
    <row r="25" spans="1:6" x14ac:dyDescent="0.35">
      <c r="A25" s="5" t="s">
        <v>30</v>
      </c>
      <c r="B25" t="s">
        <v>94</v>
      </c>
      <c r="C25" t="s">
        <v>94</v>
      </c>
      <c r="D25" t="s">
        <v>94</v>
      </c>
      <c r="E25" t="s">
        <v>94</v>
      </c>
      <c r="F25" t="s">
        <v>94</v>
      </c>
    </row>
    <row r="26" spans="1:6" x14ac:dyDescent="0.35">
      <c r="A26" s="8" t="s">
        <v>31</v>
      </c>
      <c r="B26" t="s">
        <v>94</v>
      </c>
      <c r="C26" t="s">
        <v>94</v>
      </c>
      <c r="D26" t="s">
        <v>94</v>
      </c>
      <c r="E26" t="s">
        <v>94</v>
      </c>
      <c r="F26" t="s">
        <v>94</v>
      </c>
    </row>
    <row r="27" spans="1:6" x14ac:dyDescent="0.35">
      <c r="A27" s="7" t="s">
        <v>32</v>
      </c>
      <c r="B27" t="s">
        <v>94</v>
      </c>
      <c r="C27" t="s">
        <v>94</v>
      </c>
      <c r="D27" t="s">
        <v>94</v>
      </c>
      <c r="E27" t="s">
        <v>94</v>
      </c>
      <c r="F27" t="s">
        <v>94</v>
      </c>
    </row>
    <row r="28" spans="1:6" x14ac:dyDescent="0.35">
      <c r="A28" s="7" t="s">
        <v>33</v>
      </c>
      <c r="B28" t="s">
        <v>94</v>
      </c>
      <c r="C28" t="s">
        <v>94</v>
      </c>
      <c r="D28" t="s">
        <v>94</v>
      </c>
      <c r="E28" t="s">
        <v>94</v>
      </c>
      <c r="F28" t="s">
        <v>94</v>
      </c>
    </row>
    <row r="29" spans="1:6" x14ac:dyDescent="0.35">
      <c r="A29" s="7" t="s">
        <v>34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</row>
    <row r="30" spans="1:6" x14ac:dyDescent="0.35">
      <c r="A30" s="7" t="s">
        <v>35</v>
      </c>
      <c r="B30" t="s">
        <v>94</v>
      </c>
      <c r="C30" t="s">
        <v>94</v>
      </c>
      <c r="D30" t="s">
        <v>94</v>
      </c>
      <c r="E30" t="s">
        <v>94</v>
      </c>
      <c r="F30" t="s">
        <v>94</v>
      </c>
    </row>
    <row r="31" spans="1:6" x14ac:dyDescent="0.35">
      <c r="A31" s="9" t="s">
        <v>37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</row>
    <row r="32" spans="1:6" x14ac:dyDescent="0.35">
      <c r="A32" s="7" t="s">
        <v>38</v>
      </c>
      <c r="B32" t="s">
        <v>94</v>
      </c>
      <c r="C32" t="s">
        <v>94</v>
      </c>
      <c r="D32" t="s">
        <v>94</v>
      </c>
      <c r="E32" t="s">
        <v>94</v>
      </c>
      <c r="F32" t="s">
        <v>94</v>
      </c>
    </row>
    <row r="33" spans="1:6" x14ac:dyDescent="0.35">
      <c r="A33" s="5" t="s">
        <v>44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</row>
    <row r="34" spans="1:6" x14ac:dyDescent="0.35">
      <c r="A34" s="7" t="s">
        <v>45</v>
      </c>
      <c r="B34" t="s">
        <v>94</v>
      </c>
      <c r="C34" t="s">
        <v>94</v>
      </c>
      <c r="D34" t="s">
        <v>94</v>
      </c>
      <c r="E34" t="s">
        <v>94</v>
      </c>
      <c r="F34" t="s">
        <v>94</v>
      </c>
    </row>
    <row r="35" spans="1:6" x14ac:dyDescent="0.35">
      <c r="A35" s="7" t="s">
        <v>46</v>
      </c>
      <c r="B35" t="s">
        <v>94</v>
      </c>
      <c r="C35" t="s">
        <v>94</v>
      </c>
      <c r="D35" t="s">
        <v>94</v>
      </c>
      <c r="E35" t="s">
        <v>94</v>
      </c>
      <c r="F35" t="s">
        <v>94</v>
      </c>
    </row>
    <row r="36" spans="1:6" x14ac:dyDescent="0.35">
      <c r="A36" s="7" t="s">
        <v>47</v>
      </c>
      <c r="B36" t="s">
        <v>94</v>
      </c>
      <c r="C36" t="s">
        <v>94</v>
      </c>
      <c r="D36" t="s">
        <v>94</v>
      </c>
      <c r="E36" t="s">
        <v>94</v>
      </c>
      <c r="F36" t="s">
        <v>94</v>
      </c>
    </row>
    <row r="37" spans="1:6" x14ac:dyDescent="0.35">
      <c r="A37" s="7" t="s">
        <v>48</v>
      </c>
      <c r="B37" t="s">
        <v>94</v>
      </c>
      <c r="C37" t="s">
        <v>94</v>
      </c>
      <c r="D37" t="s">
        <v>94</v>
      </c>
      <c r="E37" t="s">
        <v>94</v>
      </c>
      <c r="F37" t="s">
        <v>94</v>
      </c>
    </row>
    <row r="38" spans="1:6" x14ac:dyDescent="0.35">
      <c r="A38" s="7" t="s">
        <v>49</v>
      </c>
      <c r="B38" t="s">
        <v>94</v>
      </c>
      <c r="C38" t="s">
        <v>94</v>
      </c>
      <c r="D38" t="s">
        <v>94</v>
      </c>
      <c r="E38" t="s">
        <v>94</v>
      </c>
      <c r="F38" t="s">
        <v>94</v>
      </c>
    </row>
    <row r="39" spans="1:6" x14ac:dyDescent="0.35">
      <c r="A39" s="7" t="s">
        <v>50</v>
      </c>
      <c r="B39" t="s">
        <v>94</v>
      </c>
      <c r="C39" t="s">
        <v>94</v>
      </c>
      <c r="D39" t="s">
        <v>94</v>
      </c>
      <c r="E39" t="s">
        <v>94</v>
      </c>
      <c r="F39" t="s">
        <v>94</v>
      </c>
    </row>
    <row r="40" spans="1:6" x14ac:dyDescent="0.35">
      <c r="A40" s="7" t="s">
        <v>51</v>
      </c>
      <c r="B40" t="s">
        <v>94</v>
      </c>
      <c r="C40" t="s">
        <v>94</v>
      </c>
      <c r="D40" t="s">
        <v>94</v>
      </c>
      <c r="E40" t="s">
        <v>94</v>
      </c>
      <c r="F40" t="s">
        <v>94</v>
      </c>
    </row>
    <row r="41" spans="1:6" x14ac:dyDescent="0.35">
      <c r="A41" s="5" t="s">
        <v>52</v>
      </c>
      <c r="B41" t="s">
        <v>94</v>
      </c>
      <c r="C41" t="s">
        <v>94</v>
      </c>
      <c r="D41" t="s">
        <v>94</v>
      </c>
      <c r="E41" t="s">
        <v>94</v>
      </c>
      <c r="F41" t="s">
        <v>94</v>
      </c>
    </row>
    <row r="42" spans="1:6" x14ac:dyDescent="0.35">
      <c r="A42" s="7" t="s">
        <v>58</v>
      </c>
      <c r="B42" t="s">
        <v>94</v>
      </c>
      <c r="C42" t="s">
        <v>94</v>
      </c>
      <c r="D42" t="s">
        <v>94</v>
      </c>
      <c r="E42" t="s">
        <v>94</v>
      </c>
      <c r="F42" t="s">
        <v>94</v>
      </c>
    </row>
    <row r="43" spans="1:6" x14ac:dyDescent="0.35">
      <c r="A43" s="7" t="s">
        <v>59</v>
      </c>
      <c r="B43" t="s">
        <v>94</v>
      </c>
      <c r="C43" t="s">
        <v>94</v>
      </c>
      <c r="D43" t="s">
        <v>94</v>
      </c>
      <c r="E43" t="s">
        <v>94</v>
      </c>
      <c r="F43" t="s">
        <v>94</v>
      </c>
    </row>
    <row r="44" spans="1:6" x14ac:dyDescent="0.35">
      <c r="A44" s="7" t="s">
        <v>60</v>
      </c>
      <c r="B44" t="s">
        <v>94</v>
      </c>
      <c r="C44" t="s">
        <v>94</v>
      </c>
      <c r="D44" t="s">
        <v>94</v>
      </c>
      <c r="E44" t="s">
        <v>94</v>
      </c>
      <c r="F44" t="s">
        <v>94</v>
      </c>
    </row>
    <row r="45" spans="1:6" x14ac:dyDescent="0.35">
      <c r="A45" s="5" t="s">
        <v>61</v>
      </c>
      <c r="B45" t="s">
        <v>94</v>
      </c>
      <c r="C45" t="s">
        <v>94</v>
      </c>
      <c r="D45" t="s">
        <v>94</v>
      </c>
      <c r="E45" t="s">
        <v>94</v>
      </c>
      <c r="F45" t="s">
        <v>94</v>
      </c>
    </row>
    <row r="46" spans="1:6" x14ac:dyDescent="0.35">
      <c r="A46" s="7" t="s">
        <v>62</v>
      </c>
      <c r="B46" t="s">
        <v>94</v>
      </c>
      <c r="C46" t="s">
        <v>94</v>
      </c>
      <c r="D46" t="s">
        <v>94</v>
      </c>
      <c r="E46" t="s">
        <v>94</v>
      </c>
      <c r="F46" t="s">
        <v>94</v>
      </c>
    </row>
    <row r="47" spans="1:6" x14ac:dyDescent="0.35">
      <c r="A47" s="7" t="s">
        <v>63</v>
      </c>
      <c r="B47" t="s">
        <v>94</v>
      </c>
      <c r="C47" t="s">
        <v>94</v>
      </c>
      <c r="D47" t="s">
        <v>94</v>
      </c>
      <c r="E47" t="s">
        <v>94</v>
      </c>
      <c r="F47" t="s">
        <v>94</v>
      </c>
    </row>
    <row r="48" spans="1:6" x14ac:dyDescent="0.35">
      <c r="A48" s="10" t="s">
        <v>64</v>
      </c>
      <c r="B48" t="s">
        <v>94</v>
      </c>
      <c r="C48" t="s">
        <v>94</v>
      </c>
      <c r="D48" t="s">
        <v>94</v>
      </c>
      <c r="E48" t="s">
        <v>94</v>
      </c>
      <c r="F48" t="s">
        <v>94</v>
      </c>
    </row>
    <row r="49" spans="1:6" x14ac:dyDescent="0.35">
      <c r="A49" s="10" t="s">
        <v>65</v>
      </c>
      <c r="B49" t="s">
        <v>94</v>
      </c>
      <c r="C49" t="s">
        <v>94</v>
      </c>
      <c r="D49" t="s">
        <v>94</v>
      </c>
      <c r="E49" t="s">
        <v>94</v>
      </c>
      <c r="F49" t="s">
        <v>94</v>
      </c>
    </row>
    <row r="50" spans="1:6" x14ac:dyDescent="0.35">
      <c r="A50" s="5" t="s">
        <v>70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</row>
    <row r="51" spans="1:6" x14ac:dyDescent="0.35">
      <c r="A51" s="5" t="s">
        <v>71</v>
      </c>
      <c r="B51" t="s">
        <v>94</v>
      </c>
      <c r="C51" t="s">
        <v>94</v>
      </c>
      <c r="D51" t="s">
        <v>94</v>
      </c>
      <c r="E51" t="s">
        <v>94</v>
      </c>
      <c r="F51" t="s">
        <v>94</v>
      </c>
    </row>
    <row r="52" spans="1:6" x14ac:dyDescent="0.35">
      <c r="A52" s="5" t="s">
        <v>69</v>
      </c>
      <c r="B52" t="s">
        <v>94</v>
      </c>
      <c r="C52" t="s">
        <v>94</v>
      </c>
      <c r="D52" t="s">
        <v>94</v>
      </c>
      <c r="E52" t="s">
        <v>94</v>
      </c>
      <c r="F52" t="s">
        <v>94</v>
      </c>
    </row>
    <row r="53" spans="1:6" x14ac:dyDescent="0.35">
      <c r="A53" s="5" t="s">
        <v>68</v>
      </c>
      <c r="B53" t="s">
        <v>94</v>
      </c>
      <c r="C53" t="s">
        <v>94</v>
      </c>
      <c r="D53" t="s">
        <v>94</v>
      </c>
      <c r="E53" t="s">
        <v>94</v>
      </c>
      <c r="F53" t="s">
        <v>94</v>
      </c>
    </row>
    <row r="54" spans="1:6" x14ac:dyDescent="0.35">
      <c r="A54" s="5" t="s">
        <v>73</v>
      </c>
      <c r="B54" t="s">
        <v>94</v>
      </c>
      <c r="C54" t="s">
        <v>94</v>
      </c>
      <c r="D54" t="s">
        <v>94</v>
      </c>
      <c r="E54" t="s">
        <v>94</v>
      </c>
      <c r="F54" t="s">
        <v>94</v>
      </c>
    </row>
    <row r="55" spans="1:6" x14ac:dyDescent="0.35">
      <c r="A55" s="5" t="s">
        <v>75</v>
      </c>
      <c r="B55" t="s">
        <v>94</v>
      </c>
      <c r="C55" t="s">
        <v>94</v>
      </c>
      <c r="D55" t="s">
        <v>94</v>
      </c>
      <c r="E55" t="s">
        <v>94</v>
      </c>
      <c r="F55" t="s">
        <v>94</v>
      </c>
    </row>
    <row r="56" spans="1:6" x14ac:dyDescent="0.35">
      <c r="A56" s="5" t="s">
        <v>78</v>
      </c>
      <c r="B56" t="s">
        <v>94</v>
      </c>
      <c r="C56" t="s">
        <v>94</v>
      </c>
      <c r="D56" t="s">
        <v>94</v>
      </c>
      <c r="E56" t="s">
        <v>94</v>
      </c>
      <c r="F56" t="s">
        <v>94</v>
      </c>
    </row>
    <row r="57" spans="1:6" x14ac:dyDescent="0.35">
      <c r="A57" s="5" t="s">
        <v>79</v>
      </c>
      <c r="B57" t="s">
        <v>94</v>
      </c>
      <c r="C57" t="s">
        <v>94</v>
      </c>
      <c r="D57" t="s">
        <v>94</v>
      </c>
      <c r="E57" t="s">
        <v>94</v>
      </c>
      <c r="F57" t="s">
        <v>94</v>
      </c>
    </row>
    <row r="58" spans="1:6" x14ac:dyDescent="0.35">
      <c r="A58" s="7" t="s">
        <v>80</v>
      </c>
      <c r="B58" t="s">
        <v>94</v>
      </c>
      <c r="C58" t="s">
        <v>94</v>
      </c>
      <c r="D58" t="s">
        <v>94</v>
      </c>
      <c r="E58" t="s">
        <v>94</v>
      </c>
      <c r="F58" t="s">
        <v>94</v>
      </c>
    </row>
    <row r="59" spans="1:6" x14ac:dyDescent="0.35">
      <c r="A59" s="5" t="s">
        <v>83</v>
      </c>
      <c r="B59" t="s">
        <v>94</v>
      </c>
      <c r="C59" t="s">
        <v>94</v>
      </c>
      <c r="D59" t="s">
        <v>94</v>
      </c>
      <c r="E59" t="s">
        <v>94</v>
      </c>
      <c r="F59" t="s">
        <v>94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Main</vt:lpstr>
      <vt:lpstr>Dictionary_Areas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Accatino</dc:creator>
  <cp:lastModifiedBy>Giacomo Ravaioli_10</cp:lastModifiedBy>
  <dcterms:created xsi:type="dcterms:W3CDTF">2019-05-25T12:01:05Z</dcterms:created>
  <dcterms:modified xsi:type="dcterms:W3CDTF">2020-12-05T19:51:01Z</dcterms:modified>
</cp:coreProperties>
</file>