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santos\OneDrive - Universidade de Lisboa\Animal Future\Herdades_questionários\Francesco\FRANCESCO FINALE\"/>
    </mc:Choice>
  </mc:AlternateContent>
  <xr:revisionPtr revIDLastSave="0" documentId="13_ncr:1_{8A9E5E31-54CE-47AE-9101-329062EFDF46}" xr6:coauthVersionLast="44" xr6:coauthVersionMax="44" xr10:uidLastSave="{00000000-0000-0000-0000-000000000000}"/>
  <bookViews>
    <workbookView xWindow="-108" yWindow="-108" windowWidth="23256" windowHeight="12576" tabRatio="500" xr2:uid="{00000000-000D-0000-FFFF-FFFF00000000}"/>
  </bookViews>
  <sheets>
    <sheet name="Main" sheetId="1" r:id="rId1"/>
    <sheet name="Dictionary_Fertilizers" sheetId="2" r:id="rId2"/>
  </sheets>
  <definedNames>
    <definedName name="_xlnm._FilterDatabase" localSheetId="0" hidden="1">Main!$A$1:$J$142</definedName>
    <definedName name="_xlnm.Print_Area" localSheetId="0">Main!$A$1:$K$157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87" i="1" l="1"/>
  <c r="E142" i="1"/>
  <c r="E139" i="1"/>
  <c r="E138" i="1"/>
  <c r="E137" i="1"/>
  <c r="E136" i="1"/>
  <c r="E134" i="1"/>
  <c r="E135" i="1"/>
  <c r="E133" i="1"/>
  <c r="E132" i="1"/>
  <c r="E131" i="1"/>
  <c r="E130" i="1"/>
  <c r="E127" i="1"/>
  <c r="E128" i="1"/>
  <c r="E129" i="1"/>
  <c r="E90" i="1"/>
  <c r="E89" i="1"/>
  <c r="E88" i="1"/>
  <c r="E115" i="1"/>
  <c r="E114" i="1"/>
  <c r="E113" i="1"/>
  <c r="E112" i="1"/>
  <c r="E111" i="1"/>
  <c r="E110" i="1"/>
  <c r="E126" i="1"/>
  <c r="E125" i="1"/>
  <c r="E124" i="1"/>
  <c r="E123" i="1"/>
  <c r="E122" i="1"/>
  <c r="E121" i="1"/>
  <c r="E120" i="1"/>
  <c r="E119" i="1"/>
  <c r="E118" i="1"/>
  <c r="E117" i="1"/>
  <c r="E116" i="1"/>
  <c r="E105" i="1"/>
  <c r="E104" i="1"/>
  <c r="E103" i="1"/>
  <c r="D106" i="1"/>
  <c r="E93" i="1"/>
  <c r="E92" i="1"/>
  <c r="E91" i="1"/>
  <c r="E102" i="1"/>
  <c r="E101" i="1"/>
  <c r="E100" i="1"/>
  <c r="E99" i="1"/>
  <c r="E98" i="1"/>
  <c r="E97" i="1"/>
  <c r="E96" i="1"/>
  <c r="E95" i="1"/>
  <c r="E4" i="1"/>
  <c r="E3" i="1"/>
  <c r="E2" i="1"/>
  <c r="E6" i="1"/>
  <c r="E7" i="1"/>
  <c r="E5" i="1"/>
  <c r="E8" i="1"/>
  <c r="D109" i="1"/>
  <c r="D108" i="1"/>
  <c r="D107" i="1"/>
  <c r="E86" i="1"/>
  <c r="E85" i="1"/>
  <c r="E84" i="1"/>
  <c r="E83" i="1"/>
  <c r="E82" i="1"/>
  <c r="E81" i="1"/>
  <c r="E80" i="1"/>
  <c r="E79" i="1"/>
  <c r="E73" i="1"/>
  <c r="E72" i="1"/>
  <c r="E71" i="1"/>
  <c r="E70" i="1"/>
  <c r="E69" i="1"/>
  <c r="E68" i="1"/>
  <c r="E67" i="1"/>
  <c r="E18" i="1"/>
  <c r="E17" i="1"/>
  <c r="E16" i="1"/>
  <c r="E15" i="1"/>
  <c r="E14" i="1"/>
  <c r="E13" i="1"/>
  <c r="E12" i="1"/>
  <c r="E11" i="1"/>
  <c r="E49" i="1"/>
  <c r="E50" i="1"/>
  <c r="E51" i="1"/>
  <c r="E52" i="1"/>
  <c r="E53" i="1"/>
  <c r="E43" i="1"/>
  <c r="E44" i="1"/>
  <c r="E45" i="1"/>
  <c r="E46" i="1"/>
  <c r="E47" i="1"/>
  <c r="E48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10" i="1"/>
  <c r="E9" i="1"/>
</calcChain>
</file>

<file path=xl/sharedStrings.xml><?xml version="1.0" encoding="utf-8"?>
<sst xmlns="http://schemas.openxmlformats.org/spreadsheetml/2006/main" count="720" uniqueCount="128">
  <si>
    <t>N content [tonsN/tonsFert] or [tonsN/m3]</t>
  </si>
  <si>
    <t>Corn</t>
  </si>
  <si>
    <t>PT00</t>
  </si>
  <si>
    <t>Nitrolusal27</t>
  </si>
  <si>
    <t>Kornkali</t>
  </si>
  <si>
    <t>AmicoteCV60_15-35-0</t>
  </si>
  <si>
    <t>CornSilage</t>
  </si>
  <si>
    <t>Hay</t>
  </si>
  <si>
    <t>Natural permanent pasture 1</t>
  </si>
  <si>
    <t>Natural permanent pasture 2</t>
  </si>
  <si>
    <t>PT01</t>
  </si>
  <si>
    <t>PT02</t>
  </si>
  <si>
    <t>Sorghum</t>
  </si>
  <si>
    <t>Natural permanent pasture</t>
  </si>
  <si>
    <t>Sown temporary pasture</t>
  </si>
  <si>
    <t>PT03</t>
  </si>
  <si>
    <t>Sown permanent pasture 1</t>
  </si>
  <si>
    <t>Sown permanent pasture 2</t>
  </si>
  <si>
    <t>Sown permanent pasture 3</t>
  </si>
  <si>
    <t>Sown permanent pasture 4</t>
  </si>
  <si>
    <t>Sown permanent pasture 5</t>
  </si>
  <si>
    <t>Sown permanent pasture 6</t>
  </si>
  <si>
    <t>Sown permanent pasture 7</t>
  </si>
  <si>
    <t>Sown permanent pasture 8</t>
  </si>
  <si>
    <t>PT04</t>
  </si>
  <si>
    <t>Sown permanent pasture</t>
  </si>
  <si>
    <t>Lolium</t>
  </si>
  <si>
    <t>PT06</t>
  </si>
  <si>
    <t>Corn silage</t>
  </si>
  <si>
    <t>PT07</t>
  </si>
  <si>
    <t>Pumpkin</t>
  </si>
  <si>
    <t>Natural permanent pasture 3</t>
  </si>
  <si>
    <t>Biologic oat</t>
  </si>
  <si>
    <t>PT08</t>
  </si>
  <si>
    <t>Hay 1</t>
  </si>
  <si>
    <t>Hay 2</t>
  </si>
  <si>
    <t>PT09</t>
  </si>
  <si>
    <t>Barley</t>
  </si>
  <si>
    <t>Natural temporary pasture 1</t>
  </si>
  <si>
    <t>Natural temporary pasture 2</t>
  </si>
  <si>
    <t>Natural temporary pasture 3</t>
  </si>
  <si>
    <t>Natural temporary pasture 4</t>
  </si>
  <si>
    <t>Natural temporary pasture 5</t>
  </si>
  <si>
    <t>PT10</t>
  </si>
  <si>
    <t>Sown permanent pasture 9</t>
  </si>
  <si>
    <t>PT13</t>
  </si>
  <si>
    <t>PT14</t>
  </si>
  <si>
    <t>PT15</t>
  </si>
  <si>
    <t>PT16</t>
  </si>
  <si>
    <t>PT17</t>
  </si>
  <si>
    <t>Mixed sowing (oze, oats, vicia, triticale, lucerne, sainfoin, persian clover)</t>
  </si>
  <si>
    <t>Persian clover</t>
  </si>
  <si>
    <t>Temporary cultures</t>
  </si>
  <si>
    <t>PT20</t>
  </si>
  <si>
    <t>PT21</t>
  </si>
  <si>
    <t>PT22</t>
  </si>
  <si>
    <t>Oat</t>
  </si>
  <si>
    <t>PT24</t>
  </si>
  <si>
    <t>CornSilage + Barley</t>
  </si>
  <si>
    <t>Consociation</t>
  </si>
  <si>
    <t>PT25</t>
  </si>
  <si>
    <t>PT26</t>
  </si>
  <si>
    <t>PT28</t>
  </si>
  <si>
    <t>Super 18%</t>
  </si>
  <si>
    <t>NaN</t>
  </si>
  <si>
    <t>Organic</t>
  </si>
  <si>
    <t>Artificial</t>
  </si>
  <si>
    <t>Entec 25-15-20</t>
  </si>
  <si>
    <t>Lime</t>
  </si>
  <si>
    <t>Nitrogen solution 32N</t>
  </si>
  <si>
    <t>Amicote CV 46 (6-10-20)</t>
  </si>
  <si>
    <t>Amicote CV 60 (15-35-0)</t>
  </si>
  <si>
    <t>Physalg 15</t>
  </si>
  <si>
    <t>Nitro 27%</t>
  </si>
  <si>
    <t>Manure</t>
  </si>
  <si>
    <t>Amicote 0-26-0</t>
  </si>
  <si>
    <t>16-46-0</t>
  </si>
  <si>
    <t>24-0-0</t>
  </si>
  <si>
    <t>0-26-0</t>
  </si>
  <si>
    <t>18-46-0</t>
  </si>
  <si>
    <t>Organihum nitro-plus</t>
  </si>
  <si>
    <t>Amicote CV 32 FERTIGAFSA (0-26,5-0)</t>
  </si>
  <si>
    <t>Patentkali 0-0-30</t>
  </si>
  <si>
    <t>Amicote CV 32 FERTIGAFSA 0-26,5-0</t>
  </si>
  <si>
    <t>8-24-8</t>
  </si>
  <si>
    <t>5-15-5</t>
  </si>
  <si>
    <t>FARM_ID</t>
  </si>
  <si>
    <t>AREA_ID</t>
  </si>
  <si>
    <t>FERTILIZER_ID</t>
  </si>
  <si>
    <t>FertilizerType</t>
  </si>
  <si>
    <t>TotalQuantityTons</t>
  </si>
  <si>
    <t>TotalQuantitym3</t>
  </si>
  <si>
    <t>N_Content</t>
  </si>
  <si>
    <t>NitrogenPerSurfaceUnit</t>
  </si>
  <si>
    <t>OwnQuantity</t>
  </si>
  <si>
    <t>ApplicationMethod</t>
  </si>
  <si>
    <t>N</t>
  </si>
  <si>
    <t>N by irrigation</t>
  </si>
  <si>
    <t>P</t>
  </si>
  <si>
    <t>K</t>
  </si>
  <si>
    <t>Urea</t>
  </si>
  <si>
    <t>7-21-7</t>
  </si>
  <si>
    <t>PT31</t>
  </si>
  <si>
    <t>Hay silage</t>
  </si>
  <si>
    <t>Hay (irrigated)</t>
  </si>
  <si>
    <t>PT32</t>
  </si>
  <si>
    <t>Gafsa</t>
  </si>
  <si>
    <t>0-12-30</t>
  </si>
  <si>
    <t>15-35-0</t>
  </si>
  <si>
    <t>Slurry</t>
  </si>
  <si>
    <t>Lucerne</t>
  </si>
  <si>
    <t>PT34</t>
  </si>
  <si>
    <t>20-20-0</t>
  </si>
  <si>
    <t>PT35</t>
  </si>
  <si>
    <t>PT36</t>
  </si>
  <si>
    <t>Lolium (grazed)</t>
  </si>
  <si>
    <t>PT37</t>
  </si>
  <si>
    <t>5-15-6</t>
  </si>
  <si>
    <t>PT38</t>
  </si>
  <si>
    <t>PT39</t>
  </si>
  <si>
    <t>PT40</t>
  </si>
  <si>
    <t>Permanent natural pasture</t>
  </si>
  <si>
    <t>PT41</t>
  </si>
  <si>
    <t>PT42</t>
  </si>
  <si>
    <t>Sown permanent pasture (irrigated)</t>
  </si>
  <si>
    <t>PT43</t>
  </si>
  <si>
    <t>Cork + pasture</t>
  </si>
  <si>
    <t>18-46-00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</si>
</sst>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indexed="8"/>
      <name val="Calibri"/>
      <family val="2"/>
      <charset val="1"/>
    </font>
    <font>
      <sz val="12"/>
      <name val="Calibri"/>
      <family val="2"/>
      <scheme val="minor"/>
    </font>
    <font>
      <sz val="12"/>
      <name val="Calibri"/>
      <family val="2"/>
    </font>
    <font>
      <sz val="12"/>
      <color indexed="8"/>
      <name val="Calibri"/>
      <family val="2"/>
    </font>
    <font>
      <sz val="10"/>
      <name val="Arial"/>
      <family val="2"/>
      <charset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8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4" borderId="0" xfId="0" applyFont="1" applyFill="1"/>
    <xf numFmtId="0" fontId="1" fillId="0" borderId="0" xfId="0" applyFont="1"/>
    <xf numFmtId="0" fontId="0" fillId="0" borderId="0" xfId="0" applyBorder="1" applyAlignment="1">
      <alignment horizontal="center"/>
    </xf>
    <xf numFmtId="0" fontId="4" fillId="0" borderId="0" xfId="3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4" fontId="6" fillId="0" borderId="0" xfId="3" applyNumberFormat="1" applyFont="1" applyFill="1" applyBorder="1" applyAlignment="1">
      <alignment horizontal="center"/>
    </xf>
    <xf numFmtId="0" fontId="7" fillId="0" borderId="0" xfId="3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5" borderId="0" xfId="0" applyFill="1"/>
    <xf numFmtId="0" fontId="5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4" fontId="6" fillId="0" borderId="0" xfId="3" applyNumberFormat="1" applyFont="1" applyBorder="1" applyAlignment="1">
      <alignment horizontal="center"/>
    </xf>
  </cellXfs>
  <cellStyles count="7">
    <cellStyle name="Excel Built-in Normal" xfId="3" xr:uid="{00000000-0005-0000-0000-000000000000}"/>
    <cellStyle name="Followed Hyperlink" xfId="2" builtinId="9" hidden="1"/>
    <cellStyle name="Followed Hyperlink" xfId="6" builtinId="9" hidden="1"/>
    <cellStyle name="Hyperlink" xfId="1" builtinId="8" hidden="1"/>
    <cellStyle name="Hyperlink" xfId="5" builtinId="8" hidden="1"/>
    <cellStyle name="Normal" xfId="0" builtinId="0"/>
    <cellStyle name="Standard 2" xfId="4" xr:uid="{00000000-0005-0000-0000-000006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2"/>
  <sheetViews>
    <sheetView tabSelected="1" view="pageBreakPreview" topLeftCell="C1" zoomScaleSheetLayoutView="100" workbookViewId="0">
      <pane ySplit="1" topLeftCell="A2" activePane="bottomLeft" state="frozen"/>
      <selection activeCell="B1" sqref="B1"/>
      <selection pane="bottomLeft" activeCell="D121" sqref="D121"/>
    </sheetView>
  </sheetViews>
  <sheetFormatPr defaultColWidth="11.19921875" defaultRowHeight="15.6" x14ac:dyDescent="0.3"/>
  <cols>
    <col min="1" max="1" width="10.5" style="3" bestFit="1" customWidth="1"/>
    <col min="2" max="2" width="26.5" style="3" customWidth="1"/>
    <col min="3" max="3" width="21.19921875" style="3" bestFit="1" customWidth="1"/>
    <col min="4" max="4" width="14.19921875" style="3" bestFit="1" customWidth="1"/>
    <col min="5" max="5" width="18.59765625" style="3" bestFit="1" customWidth="1"/>
    <col min="6" max="6" width="17.19921875" style="3" bestFit="1" customWidth="1"/>
    <col min="7" max="7" width="12" style="3" bestFit="1" customWidth="1"/>
    <col min="8" max="8" width="22.796875" style="3" bestFit="1" customWidth="1"/>
    <col min="9" max="9" width="14" style="3" bestFit="1" customWidth="1"/>
    <col min="10" max="10" width="19.3984375" style="3" bestFit="1" customWidth="1"/>
    <col min="11" max="16384" width="11.19921875" style="3"/>
  </cols>
  <sheetData>
    <row r="1" spans="1:10" x14ac:dyDescent="0.3">
      <c r="A1" s="9" t="s">
        <v>86</v>
      </c>
      <c r="B1" s="10" t="s">
        <v>87</v>
      </c>
      <c r="C1" s="9" t="s">
        <v>88</v>
      </c>
      <c r="D1" t="s">
        <v>89</v>
      </c>
      <c r="E1" t="s">
        <v>90</v>
      </c>
      <c r="F1" t="s">
        <v>91</v>
      </c>
      <c r="G1" s="11" t="s">
        <v>92</v>
      </c>
      <c r="H1" s="12" t="s">
        <v>93</v>
      </c>
      <c r="I1" s="2" t="s">
        <v>94</v>
      </c>
      <c r="J1" s="2" t="s">
        <v>95</v>
      </c>
    </row>
    <row r="2" spans="1:10" s="8" customFormat="1" x14ac:dyDescent="0.3">
      <c r="A2" s="8" t="s">
        <v>2</v>
      </c>
      <c r="B2" s="8" t="s">
        <v>1</v>
      </c>
      <c r="C2" s="8" t="s">
        <v>3</v>
      </c>
      <c r="D2" s="8" t="s">
        <v>66</v>
      </c>
      <c r="E2" s="8">
        <f>6.2*0.4</f>
        <v>2.4800000000000004</v>
      </c>
      <c r="F2" s="8" t="s">
        <v>64</v>
      </c>
      <c r="G2" s="8">
        <v>0.27</v>
      </c>
      <c r="I2" s="8">
        <v>0</v>
      </c>
    </row>
    <row r="3" spans="1:10" s="8" customFormat="1" x14ac:dyDescent="0.3">
      <c r="A3" s="8" t="s">
        <v>2</v>
      </c>
      <c r="B3" s="8" t="s">
        <v>1</v>
      </c>
      <c r="C3" s="8" t="s">
        <v>4</v>
      </c>
      <c r="D3" s="8" t="s">
        <v>66</v>
      </c>
      <c r="E3" s="8">
        <f>6.2*0.25</f>
        <v>1.55</v>
      </c>
      <c r="F3" s="8" t="s">
        <v>64</v>
      </c>
      <c r="G3" s="8">
        <v>0</v>
      </c>
      <c r="I3" s="8">
        <v>0</v>
      </c>
    </row>
    <row r="4" spans="1:10" s="8" customFormat="1" x14ac:dyDescent="0.3">
      <c r="A4" s="8" t="s">
        <v>2</v>
      </c>
      <c r="B4" s="8" t="s">
        <v>1</v>
      </c>
      <c r="C4" s="8" t="s">
        <v>5</v>
      </c>
      <c r="D4" s="8" t="s">
        <v>66</v>
      </c>
      <c r="E4" s="8">
        <f>6.2*0.25</f>
        <v>1.55</v>
      </c>
      <c r="F4" s="8" t="s">
        <v>64</v>
      </c>
      <c r="G4" s="8">
        <v>0.15</v>
      </c>
      <c r="I4" s="8">
        <v>0</v>
      </c>
    </row>
    <row r="5" spans="1:10" s="8" customFormat="1" x14ac:dyDescent="0.3">
      <c r="A5" s="8" t="s">
        <v>2</v>
      </c>
      <c r="B5" s="8" t="s">
        <v>6</v>
      </c>
      <c r="C5" s="8" t="s">
        <v>3</v>
      </c>
      <c r="D5" s="8" t="s">
        <v>66</v>
      </c>
      <c r="E5" s="8">
        <f>10*0.4</f>
        <v>4</v>
      </c>
      <c r="F5" s="8" t="s">
        <v>64</v>
      </c>
      <c r="G5" s="8">
        <v>0.27</v>
      </c>
      <c r="I5" s="8">
        <v>0</v>
      </c>
    </row>
    <row r="6" spans="1:10" s="8" customFormat="1" x14ac:dyDescent="0.3">
      <c r="A6" s="8" t="s">
        <v>2</v>
      </c>
      <c r="B6" s="8" t="s">
        <v>6</v>
      </c>
      <c r="C6" s="8" t="s">
        <v>4</v>
      </c>
      <c r="D6" s="8" t="s">
        <v>66</v>
      </c>
      <c r="E6" s="8">
        <f>10*0.25</f>
        <v>2.5</v>
      </c>
      <c r="F6" s="8" t="s">
        <v>64</v>
      </c>
      <c r="G6" s="8">
        <v>0</v>
      </c>
      <c r="I6" s="8">
        <v>0</v>
      </c>
    </row>
    <row r="7" spans="1:10" s="8" customFormat="1" x14ac:dyDescent="0.3">
      <c r="A7" s="8" t="s">
        <v>2</v>
      </c>
      <c r="B7" s="8" t="s">
        <v>6</v>
      </c>
      <c r="C7" s="8" t="s">
        <v>5</v>
      </c>
      <c r="D7" s="8" t="s">
        <v>66</v>
      </c>
      <c r="E7" s="8">
        <f>10*0.25</f>
        <v>2.5</v>
      </c>
      <c r="F7" s="8" t="s">
        <v>64</v>
      </c>
      <c r="G7" s="8">
        <v>0.15</v>
      </c>
      <c r="I7" s="8">
        <v>0</v>
      </c>
    </row>
    <row r="8" spans="1:10" s="8" customFormat="1" x14ac:dyDescent="0.3">
      <c r="A8" s="8" t="s">
        <v>2</v>
      </c>
      <c r="B8" s="8" t="s">
        <v>7</v>
      </c>
      <c r="C8" s="8" t="s">
        <v>3</v>
      </c>
      <c r="D8" s="8" t="s">
        <v>66</v>
      </c>
      <c r="E8" s="8">
        <f>0.15*37.6</f>
        <v>5.64</v>
      </c>
      <c r="F8" s="8" t="s">
        <v>64</v>
      </c>
      <c r="G8" s="8">
        <v>0.27</v>
      </c>
      <c r="I8" s="8">
        <v>0</v>
      </c>
    </row>
    <row r="9" spans="1:10" x14ac:dyDescent="0.3">
      <c r="A9" s="3" t="s">
        <v>10</v>
      </c>
      <c r="B9" s="4" t="s">
        <v>8</v>
      </c>
      <c r="C9" s="3" t="s">
        <v>63</v>
      </c>
      <c r="D9" s="3" t="s">
        <v>66</v>
      </c>
      <c r="E9" s="3">
        <f>0.15*339.9</f>
        <v>50.984999999999992</v>
      </c>
      <c r="F9" s="3" t="s">
        <v>64</v>
      </c>
      <c r="G9" s="8">
        <v>0</v>
      </c>
      <c r="I9" s="8">
        <v>0</v>
      </c>
    </row>
    <row r="10" spans="1:10" x14ac:dyDescent="0.3">
      <c r="A10" s="5" t="s">
        <v>11</v>
      </c>
      <c r="B10" s="6" t="s">
        <v>12</v>
      </c>
      <c r="C10" s="3" t="s">
        <v>67</v>
      </c>
      <c r="D10" s="3" t="s">
        <v>66</v>
      </c>
      <c r="E10" s="3">
        <f>4*0.1</f>
        <v>0.4</v>
      </c>
      <c r="F10" s="3" t="s">
        <v>64</v>
      </c>
      <c r="G10" s="8">
        <v>0.25</v>
      </c>
      <c r="I10" s="8">
        <v>0</v>
      </c>
    </row>
    <row r="11" spans="1:10" x14ac:dyDescent="0.3">
      <c r="A11" s="5" t="s">
        <v>15</v>
      </c>
      <c r="B11" s="6" t="s">
        <v>16</v>
      </c>
      <c r="C11" s="3" t="s">
        <v>63</v>
      </c>
      <c r="D11" s="3" t="s">
        <v>66</v>
      </c>
      <c r="E11" s="3">
        <f>0.5*41.89</f>
        <v>20.945</v>
      </c>
      <c r="F11" s="3" t="s">
        <v>64</v>
      </c>
      <c r="G11" s="8">
        <v>0</v>
      </c>
      <c r="I11" s="8">
        <v>0</v>
      </c>
    </row>
    <row r="12" spans="1:10" x14ac:dyDescent="0.3">
      <c r="A12" s="5" t="s">
        <v>15</v>
      </c>
      <c r="B12" s="3" t="s">
        <v>17</v>
      </c>
      <c r="C12" s="3" t="s">
        <v>63</v>
      </c>
      <c r="D12" s="3" t="s">
        <v>66</v>
      </c>
      <c r="E12" s="3">
        <f>0.5*24.69</f>
        <v>12.345000000000001</v>
      </c>
      <c r="F12" s="3" t="s">
        <v>64</v>
      </c>
      <c r="G12" s="8">
        <v>0</v>
      </c>
      <c r="I12" s="8">
        <v>0</v>
      </c>
    </row>
    <row r="13" spans="1:10" x14ac:dyDescent="0.3">
      <c r="A13" s="5" t="s">
        <v>15</v>
      </c>
      <c r="B13" s="3" t="s">
        <v>18</v>
      </c>
      <c r="C13" s="3" t="s">
        <v>63</v>
      </c>
      <c r="D13" s="3" t="s">
        <v>66</v>
      </c>
      <c r="E13" s="3">
        <f>0.5*78.9</f>
        <v>39.450000000000003</v>
      </c>
      <c r="F13" s="3" t="s">
        <v>64</v>
      </c>
      <c r="G13" s="8">
        <v>0</v>
      </c>
      <c r="I13" s="8">
        <v>0</v>
      </c>
    </row>
    <row r="14" spans="1:10" x14ac:dyDescent="0.3">
      <c r="A14" s="5" t="s">
        <v>15</v>
      </c>
      <c r="B14" s="3" t="s">
        <v>19</v>
      </c>
      <c r="C14" s="3" t="s">
        <v>63</v>
      </c>
      <c r="D14" s="3" t="s">
        <v>66</v>
      </c>
      <c r="E14" s="3">
        <f>0.5*471.31</f>
        <v>235.655</v>
      </c>
      <c r="F14" s="3" t="s">
        <v>64</v>
      </c>
      <c r="G14" s="8">
        <v>0</v>
      </c>
      <c r="I14" s="8">
        <v>0</v>
      </c>
    </row>
    <row r="15" spans="1:10" x14ac:dyDescent="0.3">
      <c r="A15" s="5" t="s">
        <v>15</v>
      </c>
      <c r="B15" s="3" t="s">
        <v>20</v>
      </c>
      <c r="C15" s="3" t="s">
        <v>63</v>
      </c>
      <c r="D15" s="3" t="s">
        <v>66</v>
      </c>
      <c r="E15" s="15">
        <f>0.5*658.78</f>
        <v>329.39</v>
      </c>
      <c r="F15" s="3" t="s">
        <v>64</v>
      </c>
      <c r="G15" s="8">
        <v>0</v>
      </c>
      <c r="I15" s="8">
        <v>0</v>
      </c>
    </row>
    <row r="16" spans="1:10" x14ac:dyDescent="0.3">
      <c r="A16" s="5" t="s">
        <v>15</v>
      </c>
      <c r="B16" s="3" t="s">
        <v>21</v>
      </c>
      <c r="C16" s="3" t="s">
        <v>63</v>
      </c>
      <c r="D16" s="3" t="s">
        <v>66</v>
      </c>
      <c r="E16" s="15">
        <f>0.5*733.08</f>
        <v>366.54</v>
      </c>
      <c r="F16" s="3" t="s">
        <v>64</v>
      </c>
      <c r="G16" s="8">
        <v>0</v>
      </c>
      <c r="I16" s="8">
        <v>0</v>
      </c>
    </row>
    <row r="17" spans="1:9" x14ac:dyDescent="0.3">
      <c r="A17" s="5" t="s">
        <v>15</v>
      </c>
      <c r="B17" s="3" t="s">
        <v>22</v>
      </c>
      <c r="C17" s="3" t="s">
        <v>63</v>
      </c>
      <c r="D17" s="3" t="s">
        <v>66</v>
      </c>
      <c r="E17" s="15">
        <f>0.5*1153.42</f>
        <v>576.71</v>
      </c>
      <c r="F17" s="3" t="s">
        <v>64</v>
      </c>
      <c r="G17" s="8">
        <v>0</v>
      </c>
      <c r="I17" s="8">
        <v>0</v>
      </c>
    </row>
    <row r="18" spans="1:9" x14ac:dyDescent="0.3">
      <c r="A18" s="5" t="s">
        <v>15</v>
      </c>
      <c r="B18" s="3" t="s">
        <v>23</v>
      </c>
      <c r="C18" s="3" t="s">
        <v>63</v>
      </c>
      <c r="D18" s="3" t="s">
        <v>66</v>
      </c>
      <c r="E18" s="15">
        <f>0.5*288.37</f>
        <v>144.185</v>
      </c>
      <c r="F18" s="3" t="s">
        <v>64</v>
      </c>
      <c r="G18" s="8">
        <v>0</v>
      </c>
      <c r="I18" s="8">
        <v>0</v>
      </c>
    </row>
    <row r="19" spans="1:9" x14ac:dyDescent="0.3">
      <c r="A19" s="5" t="s">
        <v>15</v>
      </c>
      <c r="B19" s="3" t="s">
        <v>16</v>
      </c>
      <c r="C19" s="3" t="s">
        <v>68</v>
      </c>
      <c r="D19" s="3" t="s">
        <v>65</v>
      </c>
      <c r="E19" s="3">
        <v>41.89</v>
      </c>
      <c r="F19" s="3" t="s">
        <v>64</v>
      </c>
      <c r="G19" s="8">
        <v>0</v>
      </c>
      <c r="I19" s="8">
        <v>0</v>
      </c>
    </row>
    <row r="20" spans="1:9" x14ac:dyDescent="0.3">
      <c r="A20" s="5" t="s">
        <v>15</v>
      </c>
      <c r="B20" s="3" t="s">
        <v>17</v>
      </c>
      <c r="C20" s="3" t="s">
        <v>68</v>
      </c>
      <c r="D20" s="3" t="s">
        <v>65</v>
      </c>
      <c r="E20" s="3">
        <v>24.69</v>
      </c>
      <c r="F20" s="3" t="s">
        <v>64</v>
      </c>
      <c r="G20" s="8">
        <v>0</v>
      </c>
      <c r="I20" s="8">
        <v>0</v>
      </c>
    </row>
    <row r="21" spans="1:9" x14ac:dyDescent="0.3">
      <c r="A21" s="5" t="s">
        <v>15</v>
      </c>
      <c r="B21" s="3" t="s">
        <v>18</v>
      </c>
      <c r="C21" s="3" t="s">
        <v>68</v>
      </c>
      <c r="D21" s="3" t="s">
        <v>65</v>
      </c>
      <c r="E21" s="3">
        <v>78.900000000000006</v>
      </c>
      <c r="F21" s="3" t="s">
        <v>64</v>
      </c>
      <c r="G21" s="8">
        <v>0</v>
      </c>
      <c r="I21" s="8">
        <v>0</v>
      </c>
    </row>
    <row r="22" spans="1:9" x14ac:dyDescent="0.3">
      <c r="A22" s="5" t="s">
        <v>15</v>
      </c>
      <c r="B22" s="3" t="s">
        <v>19</v>
      </c>
      <c r="C22" s="3" t="s">
        <v>68</v>
      </c>
      <c r="D22" s="3" t="s">
        <v>65</v>
      </c>
      <c r="E22" s="3">
        <v>471.31</v>
      </c>
      <c r="F22" s="3" t="s">
        <v>64</v>
      </c>
      <c r="G22" s="8">
        <v>0</v>
      </c>
      <c r="I22" s="8">
        <v>0</v>
      </c>
    </row>
    <row r="23" spans="1:9" x14ac:dyDescent="0.3">
      <c r="A23" s="5" t="s">
        <v>15</v>
      </c>
      <c r="B23" s="3" t="s">
        <v>20</v>
      </c>
      <c r="C23" s="3" t="s">
        <v>68</v>
      </c>
      <c r="D23" s="3" t="s">
        <v>65</v>
      </c>
      <c r="E23" s="3">
        <v>658.78</v>
      </c>
      <c r="F23" s="3" t="s">
        <v>64</v>
      </c>
      <c r="G23" s="8">
        <v>0</v>
      </c>
      <c r="I23" s="8">
        <v>0</v>
      </c>
    </row>
    <row r="24" spans="1:9" x14ac:dyDescent="0.3">
      <c r="A24" s="5" t="s">
        <v>15</v>
      </c>
      <c r="B24" s="3" t="s">
        <v>21</v>
      </c>
      <c r="C24" s="3" t="s">
        <v>68</v>
      </c>
      <c r="D24" s="3" t="s">
        <v>65</v>
      </c>
      <c r="E24" s="3">
        <v>733.08</v>
      </c>
      <c r="F24" s="3" t="s">
        <v>64</v>
      </c>
      <c r="G24" s="8">
        <v>0</v>
      </c>
      <c r="I24" s="8">
        <v>0</v>
      </c>
    </row>
    <row r="25" spans="1:9" x14ac:dyDescent="0.3">
      <c r="A25" s="5" t="s">
        <v>15</v>
      </c>
      <c r="B25" s="3" t="s">
        <v>22</v>
      </c>
      <c r="C25" s="3" t="s">
        <v>68</v>
      </c>
      <c r="D25" s="3" t="s">
        <v>65</v>
      </c>
      <c r="E25" s="3">
        <v>1153.42</v>
      </c>
      <c r="F25" s="3" t="s">
        <v>64</v>
      </c>
      <c r="G25" s="8">
        <v>0</v>
      </c>
      <c r="I25" s="8">
        <v>0</v>
      </c>
    </row>
    <row r="26" spans="1:9" x14ac:dyDescent="0.3">
      <c r="A26" s="5" t="s">
        <v>15</v>
      </c>
      <c r="B26" s="3" t="s">
        <v>23</v>
      </c>
      <c r="C26" s="3" t="s">
        <v>68</v>
      </c>
      <c r="D26" s="3" t="s">
        <v>65</v>
      </c>
      <c r="E26" s="3">
        <v>288.37</v>
      </c>
      <c r="F26" s="3" t="s">
        <v>64</v>
      </c>
      <c r="G26" s="8">
        <v>0</v>
      </c>
      <c r="I26" s="8">
        <v>0</v>
      </c>
    </row>
    <row r="27" spans="1:9" x14ac:dyDescent="0.3">
      <c r="A27" s="5" t="s">
        <v>24</v>
      </c>
      <c r="B27" s="3" t="s">
        <v>25</v>
      </c>
      <c r="C27" s="3" t="s">
        <v>69</v>
      </c>
      <c r="D27" s="3" t="s">
        <v>66</v>
      </c>
      <c r="E27" s="3">
        <f>55.89*0.08</f>
        <v>4.4712000000000005</v>
      </c>
      <c r="F27" s="3" t="s">
        <v>64</v>
      </c>
      <c r="G27" s="8">
        <v>0.32</v>
      </c>
      <c r="I27" s="8">
        <v>0</v>
      </c>
    </row>
    <row r="28" spans="1:9" x14ac:dyDescent="0.3">
      <c r="A28" s="5" t="s">
        <v>24</v>
      </c>
      <c r="B28" s="3" t="s">
        <v>26</v>
      </c>
      <c r="C28" s="3" t="s">
        <v>79</v>
      </c>
      <c r="D28" s="3" t="s">
        <v>66</v>
      </c>
      <c r="E28" s="3">
        <f>168.26*0.15</f>
        <v>25.238999999999997</v>
      </c>
      <c r="F28" s="3" t="s">
        <v>64</v>
      </c>
      <c r="G28" s="8">
        <v>0.18</v>
      </c>
      <c r="I28" s="8">
        <v>0</v>
      </c>
    </row>
    <row r="29" spans="1:9" x14ac:dyDescent="0.3">
      <c r="A29" s="5" t="s">
        <v>27</v>
      </c>
      <c r="B29" s="3" t="s">
        <v>28</v>
      </c>
      <c r="C29" s="7" t="s">
        <v>70</v>
      </c>
      <c r="D29" s="3" t="s">
        <v>66</v>
      </c>
      <c r="E29" s="3">
        <f>0.465*12.91</f>
        <v>6.0031500000000007</v>
      </c>
      <c r="F29" s="3" t="s">
        <v>64</v>
      </c>
      <c r="G29" s="8">
        <v>0.06</v>
      </c>
      <c r="I29" s="8">
        <v>0</v>
      </c>
    </row>
    <row r="30" spans="1:9" x14ac:dyDescent="0.3">
      <c r="A30" s="5" t="s">
        <v>27</v>
      </c>
      <c r="B30" s="3" t="s">
        <v>28</v>
      </c>
      <c r="C30" s="7" t="s">
        <v>71</v>
      </c>
      <c r="D30" s="3" t="s">
        <v>66</v>
      </c>
      <c r="E30" s="3">
        <f>0.136*12.95</f>
        <v>1.7612000000000001</v>
      </c>
      <c r="F30" s="3" t="s">
        <v>64</v>
      </c>
      <c r="G30" s="8">
        <v>0.15</v>
      </c>
      <c r="I30" s="8">
        <v>0</v>
      </c>
    </row>
    <row r="31" spans="1:9" x14ac:dyDescent="0.3">
      <c r="A31" s="5" t="s">
        <v>27</v>
      </c>
      <c r="B31" s="3" t="s">
        <v>28</v>
      </c>
      <c r="C31" s="7" t="s">
        <v>69</v>
      </c>
      <c r="D31" s="3" t="s">
        <v>66</v>
      </c>
      <c r="E31" s="3">
        <f>0.63*12.95</f>
        <v>8.1585000000000001</v>
      </c>
      <c r="F31" s="3" t="s">
        <v>64</v>
      </c>
      <c r="G31" s="8">
        <v>0.32</v>
      </c>
      <c r="I31" s="8">
        <v>0</v>
      </c>
    </row>
    <row r="32" spans="1:9" x14ac:dyDescent="0.3">
      <c r="A32" s="5" t="s">
        <v>29</v>
      </c>
      <c r="B32" s="3" t="s">
        <v>25</v>
      </c>
      <c r="C32" s="3" t="s">
        <v>72</v>
      </c>
      <c r="D32" s="3" t="s">
        <v>65</v>
      </c>
      <c r="E32" s="3">
        <f>0.12*13.08</f>
        <v>1.5695999999999999</v>
      </c>
      <c r="F32" s="3" t="s">
        <v>64</v>
      </c>
      <c r="G32" s="8">
        <v>0</v>
      </c>
      <c r="I32" s="8">
        <v>0</v>
      </c>
    </row>
    <row r="33" spans="1:9" x14ac:dyDescent="0.3">
      <c r="A33" s="5" t="s">
        <v>29</v>
      </c>
      <c r="B33" s="13" t="s">
        <v>32</v>
      </c>
      <c r="C33" s="3" t="s">
        <v>72</v>
      </c>
      <c r="D33" s="3" t="s">
        <v>65</v>
      </c>
      <c r="E33" s="3">
        <f>0.137*8</f>
        <v>1.0960000000000001</v>
      </c>
      <c r="F33" s="3" t="s">
        <v>64</v>
      </c>
      <c r="G33" s="8">
        <v>0</v>
      </c>
      <c r="I33" s="8">
        <v>0</v>
      </c>
    </row>
    <row r="34" spans="1:9" x14ac:dyDescent="0.3">
      <c r="A34" s="5" t="s">
        <v>33</v>
      </c>
      <c r="B34" s="13" t="s">
        <v>8</v>
      </c>
      <c r="C34" s="3" t="s">
        <v>73</v>
      </c>
      <c r="D34" s="3" t="s">
        <v>66</v>
      </c>
      <c r="E34" s="3">
        <f>0.1*110.01</f>
        <v>11.001000000000001</v>
      </c>
      <c r="F34" s="3" t="s">
        <v>64</v>
      </c>
      <c r="G34" s="8">
        <v>0.27</v>
      </c>
      <c r="I34" s="8">
        <v>0</v>
      </c>
    </row>
    <row r="35" spans="1:9" x14ac:dyDescent="0.3">
      <c r="A35" s="5" t="s">
        <v>36</v>
      </c>
      <c r="B35" s="3" t="s">
        <v>37</v>
      </c>
      <c r="C35" s="3" t="s">
        <v>76</v>
      </c>
      <c r="D35" s="3" t="s">
        <v>66</v>
      </c>
      <c r="E35" s="3">
        <f>0.25*4.5</f>
        <v>1.125</v>
      </c>
      <c r="F35" s="3" t="s">
        <v>64</v>
      </c>
      <c r="G35" s="8">
        <v>0.16</v>
      </c>
      <c r="I35" s="8">
        <v>0</v>
      </c>
    </row>
    <row r="36" spans="1:9" x14ac:dyDescent="0.3">
      <c r="A36" s="5" t="s">
        <v>36</v>
      </c>
      <c r="B36" s="3" t="s">
        <v>37</v>
      </c>
      <c r="C36" s="3" t="s">
        <v>77</v>
      </c>
      <c r="D36" s="3" t="s">
        <v>66</v>
      </c>
      <c r="E36" s="3">
        <f>0.1*4.5</f>
        <v>0.45</v>
      </c>
      <c r="F36" s="3" t="s">
        <v>64</v>
      </c>
      <c r="G36" s="8">
        <v>0.24</v>
      </c>
      <c r="I36" s="8">
        <v>0</v>
      </c>
    </row>
    <row r="37" spans="1:9" x14ac:dyDescent="0.3">
      <c r="A37" s="5" t="s">
        <v>36</v>
      </c>
      <c r="B37" s="3" t="s">
        <v>9</v>
      </c>
      <c r="C37" s="3" t="s">
        <v>75</v>
      </c>
      <c r="D37" s="3" t="s">
        <v>66</v>
      </c>
      <c r="E37" s="3">
        <f>0.1*80.31</f>
        <v>8.0310000000000006</v>
      </c>
      <c r="F37" s="3" t="s">
        <v>64</v>
      </c>
      <c r="G37" s="8">
        <v>0</v>
      </c>
      <c r="I37" s="8">
        <v>0</v>
      </c>
    </row>
    <row r="38" spans="1:9" x14ac:dyDescent="0.3">
      <c r="A38" s="5" t="s">
        <v>36</v>
      </c>
      <c r="B38" s="3" t="s">
        <v>31</v>
      </c>
      <c r="C38" s="3" t="s">
        <v>75</v>
      </c>
      <c r="D38" s="3" t="s">
        <v>66</v>
      </c>
      <c r="E38" s="3">
        <f>0.1*78.46</f>
        <v>7.8460000000000001</v>
      </c>
      <c r="F38" s="3" t="s">
        <v>64</v>
      </c>
      <c r="G38" s="8">
        <v>0</v>
      </c>
      <c r="I38" s="8">
        <v>0</v>
      </c>
    </row>
    <row r="39" spans="1:9" x14ac:dyDescent="0.3">
      <c r="A39" s="5" t="s">
        <v>36</v>
      </c>
      <c r="B39" s="3" t="s">
        <v>38</v>
      </c>
      <c r="C39" s="3" t="s">
        <v>75</v>
      </c>
      <c r="D39" s="3" t="s">
        <v>66</v>
      </c>
      <c r="E39" s="3">
        <f>0.1*8.79</f>
        <v>0.879</v>
      </c>
      <c r="F39" s="3" t="s">
        <v>64</v>
      </c>
      <c r="G39" s="8">
        <v>0</v>
      </c>
      <c r="I39" s="8">
        <v>0</v>
      </c>
    </row>
    <row r="40" spans="1:9" x14ac:dyDescent="0.3">
      <c r="A40" s="5" t="s">
        <v>36</v>
      </c>
      <c r="B40" s="3" t="s">
        <v>39</v>
      </c>
      <c r="C40" s="3" t="s">
        <v>75</v>
      </c>
      <c r="D40" s="3" t="s">
        <v>66</v>
      </c>
      <c r="E40" s="3">
        <f>0.1*34.87</f>
        <v>3.4870000000000001</v>
      </c>
      <c r="F40" s="3" t="s">
        <v>64</v>
      </c>
      <c r="G40" s="8">
        <v>0</v>
      </c>
      <c r="I40" s="8">
        <v>0</v>
      </c>
    </row>
    <row r="41" spans="1:9" x14ac:dyDescent="0.3">
      <c r="A41" s="5" t="s">
        <v>36</v>
      </c>
      <c r="B41" s="3" t="s">
        <v>40</v>
      </c>
      <c r="C41" s="3" t="s">
        <v>75</v>
      </c>
      <c r="D41" s="3" t="s">
        <v>66</v>
      </c>
      <c r="E41" s="3">
        <f>0.1*16.49</f>
        <v>1.649</v>
      </c>
      <c r="F41" s="3" t="s">
        <v>64</v>
      </c>
      <c r="G41" s="8">
        <v>0</v>
      </c>
      <c r="I41" s="8">
        <v>0</v>
      </c>
    </row>
    <row r="42" spans="1:9" x14ac:dyDescent="0.3">
      <c r="A42" s="5" t="s">
        <v>36</v>
      </c>
      <c r="B42" s="3" t="s">
        <v>41</v>
      </c>
      <c r="C42" s="3" t="s">
        <v>75</v>
      </c>
      <c r="D42" s="3" t="s">
        <v>66</v>
      </c>
      <c r="E42" s="3">
        <f>0.1*14.24</f>
        <v>1.4240000000000002</v>
      </c>
      <c r="F42" s="3" t="s">
        <v>64</v>
      </c>
      <c r="G42" s="8">
        <v>0</v>
      </c>
      <c r="I42" s="8">
        <v>0</v>
      </c>
    </row>
    <row r="43" spans="1:9" x14ac:dyDescent="0.3">
      <c r="A43" s="5" t="s">
        <v>36</v>
      </c>
      <c r="B43" s="3" t="s">
        <v>42</v>
      </c>
      <c r="C43" s="3" t="s">
        <v>75</v>
      </c>
      <c r="D43" s="3" t="s">
        <v>66</v>
      </c>
      <c r="E43" s="3">
        <f>0.1*17.12</f>
        <v>1.7120000000000002</v>
      </c>
      <c r="F43" s="3" t="s">
        <v>64</v>
      </c>
      <c r="G43" s="8">
        <v>0</v>
      </c>
      <c r="I43" s="8">
        <v>0</v>
      </c>
    </row>
    <row r="44" spans="1:9" x14ac:dyDescent="0.3">
      <c r="A44" s="5" t="s">
        <v>36</v>
      </c>
      <c r="B44" s="3" t="s">
        <v>16</v>
      </c>
      <c r="C44" s="3" t="s">
        <v>75</v>
      </c>
      <c r="D44" s="3" t="s">
        <v>66</v>
      </c>
      <c r="E44" s="3">
        <f>0.1*57.72</f>
        <v>5.7720000000000002</v>
      </c>
      <c r="F44" s="3" t="s">
        <v>64</v>
      </c>
      <c r="G44" s="8">
        <v>0</v>
      </c>
      <c r="I44" s="8">
        <v>0</v>
      </c>
    </row>
    <row r="45" spans="1:9" x14ac:dyDescent="0.3">
      <c r="A45" s="5" t="s">
        <v>36</v>
      </c>
      <c r="B45" s="3" t="s">
        <v>17</v>
      </c>
      <c r="C45" s="3" t="s">
        <v>75</v>
      </c>
      <c r="D45" s="3" t="s">
        <v>66</v>
      </c>
      <c r="E45" s="3">
        <f>0.1*21.08</f>
        <v>2.1080000000000001</v>
      </c>
      <c r="F45" s="3" t="s">
        <v>64</v>
      </c>
      <c r="G45" s="8">
        <v>0</v>
      </c>
      <c r="I45" s="8">
        <v>0</v>
      </c>
    </row>
    <row r="46" spans="1:9" x14ac:dyDescent="0.3">
      <c r="A46" s="5" t="s">
        <v>36</v>
      </c>
      <c r="B46" s="3" t="s">
        <v>18</v>
      </c>
      <c r="C46" s="3" t="s">
        <v>75</v>
      </c>
      <c r="D46" s="3" t="s">
        <v>66</v>
      </c>
      <c r="E46" s="3">
        <f>0.1*10.43</f>
        <v>1.0429999999999999</v>
      </c>
      <c r="F46" s="3" t="s">
        <v>64</v>
      </c>
      <c r="G46" s="8">
        <v>0</v>
      </c>
      <c r="I46" s="8">
        <v>0</v>
      </c>
    </row>
    <row r="47" spans="1:9" x14ac:dyDescent="0.3">
      <c r="A47" s="5" t="s">
        <v>36</v>
      </c>
      <c r="B47" s="3" t="s">
        <v>19</v>
      </c>
      <c r="C47" s="3" t="s">
        <v>75</v>
      </c>
      <c r="D47" s="3" t="s">
        <v>66</v>
      </c>
      <c r="E47" s="3">
        <f>0.1*58.63</f>
        <v>5.8630000000000004</v>
      </c>
      <c r="F47" s="3" t="s">
        <v>64</v>
      </c>
      <c r="G47" s="8">
        <v>0</v>
      </c>
      <c r="I47" s="8">
        <v>0</v>
      </c>
    </row>
    <row r="48" spans="1:9" x14ac:dyDescent="0.3">
      <c r="A48" s="5" t="s">
        <v>36</v>
      </c>
      <c r="B48" s="3" t="s">
        <v>20</v>
      </c>
      <c r="C48" s="3" t="s">
        <v>75</v>
      </c>
      <c r="D48" s="3" t="s">
        <v>66</v>
      </c>
      <c r="E48" s="3">
        <f>0.1*65.23</f>
        <v>6.5230000000000006</v>
      </c>
      <c r="F48" s="3" t="s">
        <v>64</v>
      </c>
      <c r="G48" s="8">
        <v>0</v>
      </c>
      <c r="I48" s="8">
        <v>0</v>
      </c>
    </row>
    <row r="49" spans="1:9" x14ac:dyDescent="0.3">
      <c r="A49" s="5" t="s">
        <v>36</v>
      </c>
      <c r="B49" s="3" t="s">
        <v>16</v>
      </c>
      <c r="C49" s="3" t="s">
        <v>74</v>
      </c>
      <c r="D49" s="3" t="s">
        <v>65</v>
      </c>
      <c r="E49" s="3">
        <f>2*57.72</f>
        <v>115.44</v>
      </c>
      <c r="F49" s="3" t="s">
        <v>64</v>
      </c>
      <c r="G49" s="8">
        <v>5.3999999999999999E-2</v>
      </c>
      <c r="I49" s="3">
        <v>1</v>
      </c>
    </row>
    <row r="50" spans="1:9" x14ac:dyDescent="0.3">
      <c r="A50" s="5" t="s">
        <v>36</v>
      </c>
      <c r="B50" s="3" t="s">
        <v>17</v>
      </c>
      <c r="C50" s="3" t="s">
        <v>74</v>
      </c>
      <c r="D50" s="3" t="s">
        <v>65</v>
      </c>
      <c r="E50" s="3">
        <f>2*21.08</f>
        <v>42.16</v>
      </c>
      <c r="F50" s="3" t="s">
        <v>64</v>
      </c>
      <c r="G50" s="8">
        <v>5.3999999999999999E-2</v>
      </c>
      <c r="I50" s="3">
        <v>1</v>
      </c>
    </row>
    <row r="51" spans="1:9" x14ac:dyDescent="0.3">
      <c r="A51" s="5" t="s">
        <v>36</v>
      </c>
      <c r="B51" s="3" t="s">
        <v>18</v>
      </c>
      <c r="C51" s="3" t="s">
        <v>74</v>
      </c>
      <c r="D51" s="3" t="s">
        <v>65</v>
      </c>
      <c r="E51" s="3">
        <f>2*10.43</f>
        <v>20.86</v>
      </c>
      <c r="F51" s="3" t="s">
        <v>64</v>
      </c>
      <c r="G51" s="8">
        <v>5.3999999999999999E-2</v>
      </c>
      <c r="I51" s="3">
        <v>1</v>
      </c>
    </row>
    <row r="52" spans="1:9" x14ac:dyDescent="0.3">
      <c r="A52" s="5" t="s">
        <v>36</v>
      </c>
      <c r="B52" s="3" t="s">
        <v>19</v>
      </c>
      <c r="C52" s="3" t="s">
        <v>74</v>
      </c>
      <c r="D52" s="3" t="s">
        <v>65</v>
      </c>
      <c r="E52" s="3">
        <f>2*58.63</f>
        <v>117.26</v>
      </c>
      <c r="F52" s="3" t="s">
        <v>64</v>
      </c>
      <c r="G52" s="8">
        <v>5.3999999999999999E-2</v>
      </c>
      <c r="I52" s="3">
        <v>1</v>
      </c>
    </row>
    <row r="53" spans="1:9" x14ac:dyDescent="0.3">
      <c r="A53" s="5" t="s">
        <v>36</v>
      </c>
      <c r="B53" s="3" t="s">
        <v>20</v>
      </c>
      <c r="C53" s="3" t="s">
        <v>74</v>
      </c>
      <c r="D53" s="3" t="s">
        <v>65</v>
      </c>
      <c r="E53" s="3">
        <f>2*65.23</f>
        <v>130.46</v>
      </c>
      <c r="F53" s="3" t="s">
        <v>64</v>
      </c>
      <c r="G53" s="8">
        <v>5.3999999999999999E-2</v>
      </c>
      <c r="I53" s="3">
        <v>1</v>
      </c>
    </row>
    <row r="54" spans="1:9" x14ac:dyDescent="0.3">
      <c r="A54" s="5" t="s">
        <v>43</v>
      </c>
      <c r="B54" s="3" t="s">
        <v>8</v>
      </c>
      <c r="C54" s="3" t="s">
        <v>78</v>
      </c>
      <c r="D54" s="3" t="s">
        <v>66</v>
      </c>
      <c r="E54" s="3">
        <v>3.0030000000000001</v>
      </c>
      <c r="F54" s="3" t="s">
        <v>64</v>
      </c>
      <c r="G54" s="8">
        <v>0</v>
      </c>
      <c r="I54" s="3">
        <v>0</v>
      </c>
    </row>
    <row r="55" spans="1:9" x14ac:dyDescent="0.3">
      <c r="A55" s="5" t="s">
        <v>43</v>
      </c>
      <c r="B55" s="3" t="s">
        <v>9</v>
      </c>
      <c r="C55" s="3" t="s">
        <v>78</v>
      </c>
      <c r="D55" s="3" t="s">
        <v>66</v>
      </c>
      <c r="E55" s="3">
        <v>9.4499999999999993</v>
      </c>
      <c r="F55" s="3" t="s">
        <v>64</v>
      </c>
      <c r="G55" s="8">
        <v>0</v>
      </c>
      <c r="I55" s="3">
        <v>0</v>
      </c>
    </row>
    <row r="56" spans="1:9" x14ac:dyDescent="0.3">
      <c r="A56" s="5" t="s">
        <v>43</v>
      </c>
      <c r="B56" s="3" t="s">
        <v>16</v>
      </c>
      <c r="C56" s="3" t="s">
        <v>78</v>
      </c>
      <c r="D56" s="3" t="s">
        <v>66</v>
      </c>
      <c r="E56" s="3">
        <v>7.266</v>
      </c>
      <c r="F56" s="3" t="s">
        <v>64</v>
      </c>
      <c r="G56" s="8">
        <v>0</v>
      </c>
      <c r="I56" s="3">
        <v>0</v>
      </c>
    </row>
    <row r="57" spans="1:9" x14ac:dyDescent="0.3">
      <c r="A57" s="5" t="s">
        <v>43</v>
      </c>
      <c r="B57" s="3" t="s">
        <v>17</v>
      </c>
      <c r="C57" s="3" t="s">
        <v>78</v>
      </c>
      <c r="D57" s="3" t="s">
        <v>66</v>
      </c>
      <c r="E57" s="3">
        <v>10.016999999999999</v>
      </c>
      <c r="F57" s="3" t="s">
        <v>64</v>
      </c>
      <c r="G57" s="8">
        <v>0</v>
      </c>
      <c r="I57" s="3">
        <v>0</v>
      </c>
    </row>
    <row r="58" spans="1:9" x14ac:dyDescent="0.3">
      <c r="A58" s="5" t="s">
        <v>43</v>
      </c>
      <c r="B58" s="3" t="s">
        <v>18</v>
      </c>
      <c r="C58" s="3" t="s">
        <v>78</v>
      </c>
      <c r="D58" s="3" t="s">
        <v>66</v>
      </c>
      <c r="E58" s="3">
        <v>9.8490000000000002</v>
      </c>
      <c r="F58" s="3" t="s">
        <v>64</v>
      </c>
      <c r="G58" s="8">
        <v>0</v>
      </c>
      <c r="I58" s="3">
        <v>0</v>
      </c>
    </row>
    <row r="59" spans="1:9" x14ac:dyDescent="0.3">
      <c r="A59" s="5" t="s">
        <v>43</v>
      </c>
      <c r="B59" s="3" t="s">
        <v>19</v>
      </c>
      <c r="C59" s="3" t="s">
        <v>78</v>
      </c>
      <c r="D59" s="3" t="s">
        <v>66</v>
      </c>
      <c r="E59" s="3">
        <v>6.468</v>
      </c>
      <c r="F59" s="3" t="s">
        <v>64</v>
      </c>
      <c r="G59" s="8">
        <v>0</v>
      </c>
      <c r="I59" s="3">
        <v>0</v>
      </c>
    </row>
    <row r="60" spans="1:9" x14ac:dyDescent="0.3">
      <c r="A60" s="5" t="s">
        <v>43</v>
      </c>
      <c r="B60" s="3" t="s">
        <v>20</v>
      </c>
      <c r="C60" s="3" t="s">
        <v>78</v>
      </c>
      <c r="D60" s="3" t="s">
        <v>66</v>
      </c>
      <c r="E60" s="3">
        <v>11.129999999999999</v>
      </c>
      <c r="F60" s="3" t="s">
        <v>64</v>
      </c>
      <c r="G60" s="8">
        <v>0</v>
      </c>
      <c r="I60" s="3">
        <v>0</v>
      </c>
    </row>
    <row r="61" spans="1:9" x14ac:dyDescent="0.3">
      <c r="A61" s="5" t="s">
        <v>43</v>
      </c>
      <c r="B61" s="3" t="s">
        <v>21</v>
      </c>
      <c r="C61" s="3" t="s">
        <v>78</v>
      </c>
      <c r="D61" s="3" t="s">
        <v>66</v>
      </c>
      <c r="E61" s="3">
        <v>8.9879999999999995</v>
      </c>
      <c r="F61" s="3" t="s">
        <v>64</v>
      </c>
      <c r="G61" s="8">
        <v>0</v>
      </c>
      <c r="I61" s="3">
        <v>0</v>
      </c>
    </row>
    <row r="62" spans="1:9" x14ac:dyDescent="0.3">
      <c r="A62" s="5" t="s">
        <v>43</v>
      </c>
      <c r="B62" s="3" t="s">
        <v>22</v>
      </c>
      <c r="C62" s="3" t="s">
        <v>78</v>
      </c>
      <c r="D62" s="3" t="s">
        <v>66</v>
      </c>
      <c r="E62" s="3">
        <v>12.809999999999999</v>
      </c>
      <c r="F62" s="3" t="s">
        <v>64</v>
      </c>
      <c r="G62" s="8">
        <v>0</v>
      </c>
      <c r="I62" s="3">
        <v>0</v>
      </c>
    </row>
    <row r="63" spans="1:9" x14ac:dyDescent="0.3">
      <c r="A63" s="5" t="s">
        <v>43</v>
      </c>
      <c r="B63" s="3" t="s">
        <v>23</v>
      </c>
      <c r="C63" s="3" t="s">
        <v>78</v>
      </c>
      <c r="D63" s="3" t="s">
        <v>66</v>
      </c>
      <c r="E63" s="3">
        <v>4.41</v>
      </c>
      <c r="F63" s="3" t="s">
        <v>64</v>
      </c>
      <c r="G63" s="8">
        <v>0</v>
      </c>
      <c r="I63" s="3">
        <v>0</v>
      </c>
    </row>
    <row r="64" spans="1:9" x14ac:dyDescent="0.3">
      <c r="A64" s="5" t="s">
        <v>43</v>
      </c>
      <c r="B64" s="3" t="s">
        <v>44</v>
      </c>
      <c r="C64" s="3" t="s">
        <v>78</v>
      </c>
      <c r="D64" s="3" t="s">
        <v>66</v>
      </c>
      <c r="E64" s="3">
        <v>1.1970000000000001</v>
      </c>
      <c r="F64" s="3" t="s">
        <v>64</v>
      </c>
      <c r="G64" s="8">
        <v>0</v>
      </c>
      <c r="I64" s="3">
        <v>0</v>
      </c>
    </row>
    <row r="65" spans="1:9" x14ac:dyDescent="0.3">
      <c r="A65" s="5" t="s">
        <v>43</v>
      </c>
      <c r="B65" s="3" t="s">
        <v>34</v>
      </c>
      <c r="C65" s="3" t="s">
        <v>78</v>
      </c>
      <c r="D65" s="3" t="s">
        <v>66</v>
      </c>
      <c r="E65" s="3">
        <v>5.2289999999999992</v>
      </c>
      <c r="F65" s="3" t="s">
        <v>64</v>
      </c>
      <c r="G65" s="8">
        <v>0</v>
      </c>
      <c r="I65" s="3">
        <v>0</v>
      </c>
    </row>
    <row r="66" spans="1:9" x14ac:dyDescent="0.3">
      <c r="A66" s="5" t="s">
        <v>43</v>
      </c>
      <c r="B66" s="3" t="s">
        <v>35</v>
      </c>
      <c r="C66" s="3" t="s">
        <v>78</v>
      </c>
      <c r="D66" s="3" t="s">
        <v>66</v>
      </c>
      <c r="E66" s="3">
        <v>2.52</v>
      </c>
      <c r="F66" s="3" t="s">
        <v>64</v>
      </c>
      <c r="G66" s="8">
        <v>0</v>
      </c>
      <c r="I66" s="3">
        <v>0</v>
      </c>
    </row>
    <row r="67" spans="1:9" x14ac:dyDescent="0.3">
      <c r="A67" s="5" t="s">
        <v>43</v>
      </c>
      <c r="B67" s="3" t="s">
        <v>34</v>
      </c>
      <c r="C67" s="3" t="s">
        <v>74</v>
      </c>
      <c r="D67" s="3" t="s">
        <v>65</v>
      </c>
      <c r="E67" s="3">
        <f>2*52.29</f>
        <v>104.58</v>
      </c>
      <c r="F67" s="3" t="s">
        <v>64</v>
      </c>
      <c r="G67" s="8">
        <v>5.3999999999999999E-2</v>
      </c>
      <c r="I67" s="3">
        <v>1</v>
      </c>
    </row>
    <row r="68" spans="1:9" x14ac:dyDescent="0.3">
      <c r="A68" s="5" t="s">
        <v>43</v>
      </c>
      <c r="B68" s="3" t="s">
        <v>35</v>
      </c>
      <c r="C68" s="3" t="s">
        <v>74</v>
      </c>
      <c r="D68" s="3" t="s">
        <v>65</v>
      </c>
      <c r="E68" s="3">
        <f>2*25.2</f>
        <v>50.4</v>
      </c>
      <c r="F68" s="3" t="s">
        <v>64</v>
      </c>
      <c r="G68" s="8">
        <v>5.3999999999999999E-2</v>
      </c>
      <c r="I68" s="3">
        <v>1</v>
      </c>
    </row>
    <row r="69" spans="1:9" x14ac:dyDescent="0.3">
      <c r="A69" s="5" t="s">
        <v>45</v>
      </c>
      <c r="B69" s="3" t="s">
        <v>25</v>
      </c>
      <c r="C69" s="3" t="s">
        <v>63</v>
      </c>
      <c r="D69" s="3" t="s">
        <v>66</v>
      </c>
      <c r="E69" s="15">
        <f>0.09*268.36</f>
        <v>24.1524</v>
      </c>
      <c r="F69" s="3" t="s">
        <v>64</v>
      </c>
      <c r="G69" s="8">
        <v>0</v>
      </c>
      <c r="I69" s="3">
        <v>0</v>
      </c>
    </row>
    <row r="70" spans="1:9" x14ac:dyDescent="0.3">
      <c r="A70" s="5" t="s">
        <v>45</v>
      </c>
      <c r="B70" s="3" t="s">
        <v>25</v>
      </c>
      <c r="C70" s="3" t="s">
        <v>73</v>
      </c>
      <c r="D70" s="3" t="s">
        <v>66</v>
      </c>
      <c r="E70" s="3">
        <f>0.04*268.36</f>
        <v>10.734400000000001</v>
      </c>
      <c r="F70" s="3" t="s">
        <v>64</v>
      </c>
      <c r="G70" s="8">
        <v>0.27</v>
      </c>
      <c r="I70" s="3">
        <v>0</v>
      </c>
    </row>
    <row r="71" spans="1:9" x14ac:dyDescent="0.3">
      <c r="A71" s="5" t="s">
        <v>46</v>
      </c>
      <c r="B71" s="3" t="s">
        <v>9</v>
      </c>
      <c r="C71" s="3" t="s">
        <v>63</v>
      </c>
      <c r="D71" s="3" t="s">
        <v>66</v>
      </c>
      <c r="E71" s="15">
        <f>68.49*0.15</f>
        <v>10.273499999999999</v>
      </c>
      <c r="F71" s="3" t="s">
        <v>64</v>
      </c>
      <c r="G71" s="8">
        <v>0</v>
      </c>
      <c r="I71" s="3">
        <v>0</v>
      </c>
    </row>
    <row r="72" spans="1:9" x14ac:dyDescent="0.3">
      <c r="A72" s="5" t="s">
        <v>47</v>
      </c>
      <c r="B72" s="3" t="s">
        <v>25</v>
      </c>
      <c r="C72" s="3" t="s">
        <v>72</v>
      </c>
      <c r="D72" s="3" t="s">
        <v>65</v>
      </c>
      <c r="E72" s="3">
        <f>0.15*46.3</f>
        <v>6.9449999999999994</v>
      </c>
      <c r="F72" s="3" t="s">
        <v>64</v>
      </c>
      <c r="G72" s="8">
        <v>0</v>
      </c>
      <c r="I72" s="3">
        <v>0</v>
      </c>
    </row>
    <row r="73" spans="1:9" x14ac:dyDescent="0.3">
      <c r="A73" s="5" t="s">
        <v>48</v>
      </c>
      <c r="B73" s="3" t="s">
        <v>13</v>
      </c>
      <c r="C73" s="3" t="s">
        <v>79</v>
      </c>
      <c r="D73" s="3" t="s">
        <v>66</v>
      </c>
      <c r="E73" s="3">
        <f>0.2*23</f>
        <v>4.6000000000000005</v>
      </c>
      <c r="F73" s="3" t="s">
        <v>64</v>
      </c>
      <c r="G73" s="8">
        <v>0.18</v>
      </c>
      <c r="I73" s="3">
        <v>0</v>
      </c>
    </row>
    <row r="74" spans="1:9" x14ac:dyDescent="0.3">
      <c r="A74" s="5" t="s">
        <v>49</v>
      </c>
      <c r="B74" s="3" t="s">
        <v>25</v>
      </c>
      <c r="C74" s="3" t="s">
        <v>80</v>
      </c>
      <c r="D74" s="3" t="s">
        <v>65</v>
      </c>
      <c r="E74" s="3" t="s">
        <v>64</v>
      </c>
      <c r="F74" s="3">
        <v>88</v>
      </c>
      <c r="G74" s="8">
        <v>0.08</v>
      </c>
      <c r="I74" s="3">
        <v>0</v>
      </c>
    </row>
    <row r="75" spans="1:9" x14ac:dyDescent="0.3">
      <c r="A75" s="5" t="s">
        <v>49</v>
      </c>
      <c r="B75" s="3" t="s">
        <v>13</v>
      </c>
      <c r="C75" s="3" t="s">
        <v>80</v>
      </c>
      <c r="D75" s="3" t="s">
        <v>65</v>
      </c>
      <c r="E75" s="3" t="s">
        <v>64</v>
      </c>
      <c r="F75" s="3">
        <v>12</v>
      </c>
      <c r="G75" s="8">
        <v>0.08</v>
      </c>
      <c r="I75" s="3">
        <v>0</v>
      </c>
    </row>
    <row r="76" spans="1:9" x14ac:dyDescent="0.3">
      <c r="A76" s="5" t="s">
        <v>49</v>
      </c>
      <c r="B76" s="3" t="s">
        <v>50</v>
      </c>
      <c r="C76" s="3" t="s">
        <v>80</v>
      </c>
      <c r="D76" s="3" t="s">
        <v>65</v>
      </c>
      <c r="E76" s="3" t="s">
        <v>64</v>
      </c>
      <c r="F76" s="3">
        <v>16</v>
      </c>
      <c r="G76" s="8">
        <v>0.08</v>
      </c>
      <c r="I76" s="3">
        <v>0</v>
      </c>
    </row>
    <row r="77" spans="1:9" x14ac:dyDescent="0.3">
      <c r="A77" s="5" t="s">
        <v>49</v>
      </c>
      <c r="B77" s="3" t="s">
        <v>51</v>
      </c>
      <c r="C77" s="3" t="s">
        <v>80</v>
      </c>
      <c r="D77" s="3" t="s">
        <v>65</v>
      </c>
      <c r="E77" s="3" t="s">
        <v>64</v>
      </c>
      <c r="F77" s="3">
        <v>4</v>
      </c>
      <c r="G77" s="8">
        <v>0.08</v>
      </c>
      <c r="I77" s="3">
        <v>0</v>
      </c>
    </row>
    <row r="78" spans="1:9" x14ac:dyDescent="0.3">
      <c r="A78" s="5" t="s">
        <v>49</v>
      </c>
      <c r="B78" s="3" t="s">
        <v>30</v>
      </c>
      <c r="C78" s="3" t="s">
        <v>80</v>
      </c>
      <c r="D78" s="3" t="s">
        <v>65</v>
      </c>
      <c r="E78" s="3" t="s">
        <v>64</v>
      </c>
      <c r="F78" s="3">
        <v>1.6</v>
      </c>
      <c r="G78" s="8">
        <v>0.08</v>
      </c>
      <c r="I78" s="3">
        <v>0</v>
      </c>
    </row>
    <row r="79" spans="1:9" x14ac:dyDescent="0.3">
      <c r="A79" s="5" t="s">
        <v>53</v>
      </c>
      <c r="B79" s="3" t="s">
        <v>13</v>
      </c>
      <c r="C79" s="3" t="s">
        <v>83</v>
      </c>
      <c r="D79" s="3" t="s">
        <v>66</v>
      </c>
      <c r="E79" s="3">
        <f>0.2*20.3</f>
        <v>4.0600000000000005</v>
      </c>
      <c r="F79" s="3" t="s">
        <v>64</v>
      </c>
      <c r="G79" s="8">
        <v>0</v>
      </c>
      <c r="I79" s="3">
        <v>0</v>
      </c>
    </row>
    <row r="80" spans="1:9" x14ac:dyDescent="0.3">
      <c r="A80" s="5" t="s">
        <v>53</v>
      </c>
      <c r="B80" s="3" t="s">
        <v>25</v>
      </c>
      <c r="C80" s="3" t="s">
        <v>81</v>
      </c>
      <c r="D80" s="3" t="s">
        <v>66</v>
      </c>
      <c r="E80" s="3">
        <f>0.2*28.2</f>
        <v>5.6400000000000006</v>
      </c>
      <c r="F80" s="3" t="s">
        <v>64</v>
      </c>
      <c r="G80" s="8">
        <v>0</v>
      </c>
      <c r="I80" s="3">
        <v>0</v>
      </c>
    </row>
    <row r="81" spans="1:9" x14ac:dyDescent="0.3">
      <c r="A81" s="5" t="s">
        <v>53</v>
      </c>
      <c r="B81" s="3" t="s">
        <v>13</v>
      </c>
      <c r="C81" s="3" t="s">
        <v>82</v>
      </c>
      <c r="D81" s="3" t="s">
        <v>66</v>
      </c>
      <c r="E81" s="3">
        <f>0.15*20.3</f>
        <v>3.0449999999999999</v>
      </c>
      <c r="F81" s="3" t="s">
        <v>64</v>
      </c>
      <c r="G81" s="8">
        <v>0</v>
      </c>
      <c r="I81" s="3">
        <v>0</v>
      </c>
    </row>
    <row r="82" spans="1:9" x14ac:dyDescent="0.3">
      <c r="A82" s="5" t="s">
        <v>53</v>
      </c>
      <c r="B82" s="3" t="s">
        <v>25</v>
      </c>
      <c r="C82" s="3" t="s">
        <v>82</v>
      </c>
      <c r="D82" s="3" t="s">
        <v>66</v>
      </c>
      <c r="E82" s="3">
        <f>0.15*28.2</f>
        <v>4.2299999999999995</v>
      </c>
      <c r="F82" s="3" t="s">
        <v>64</v>
      </c>
      <c r="G82" s="8">
        <v>0</v>
      </c>
      <c r="I82" s="3">
        <v>0</v>
      </c>
    </row>
    <row r="83" spans="1:9" x14ac:dyDescent="0.3">
      <c r="A83" s="5" t="s">
        <v>53</v>
      </c>
      <c r="B83" s="3" t="s">
        <v>7</v>
      </c>
      <c r="C83" s="3" t="s">
        <v>74</v>
      </c>
      <c r="D83" s="3" t="s">
        <v>65</v>
      </c>
      <c r="E83" s="3">
        <f>8*33.41</f>
        <v>267.27999999999997</v>
      </c>
      <c r="F83" s="3" t="s">
        <v>64</v>
      </c>
      <c r="G83" s="8">
        <v>5.3999999999999999E-2</v>
      </c>
      <c r="I83" s="3">
        <v>1</v>
      </c>
    </row>
    <row r="84" spans="1:9" x14ac:dyDescent="0.3">
      <c r="A84" s="5" t="s">
        <v>53</v>
      </c>
      <c r="B84" s="3" t="s">
        <v>52</v>
      </c>
      <c r="C84" s="3" t="s">
        <v>81</v>
      </c>
      <c r="D84" s="3" t="s">
        <v>66</v>
      </c>
      <c r="E84" s="3">
        <f>0.2*18.28</f>
        <v>3.6560000000000006</v>
      </c>
      <c r="F84" s="3" t="s">
        <v>64</v>
      </c>
      <c r="G84" s="8">
        <v>0</v>
      </c>
      <c r="I84" s="3">
        <v>0</v>
      </c>
    </row>
    <row r="85" spans="1:9" x14ac:dyDescent="0.3">
      <c r="A85" s="5" t="s">
        <v>53</v>
      </c>
      <c r="B85" s="3" t="s">
        <v>52</v>
      </c>
      <c r="C85" s="3" t="s">
        <v>82</v>
      </c>
      <c r="D85" s="3" t="s">
        <v>66</v>
      </c>
      <c r="E85" s="3">
        <f>0.15*18.28</f>
        <v>2.742</v>
      </c>
      <c r="F85" s="3" t="s">
        <v>64</v>
      </c>
      <c r="G85" s="8">
        <v>0</v>
      </c>
      <c r="I85" s="3">
        <v>0</v>
      </c>
    </row>
    <row r="86" spans="1:9" x14ac:dyDescent="0.3">
      <c r="A86" s="5" t="s">
        <v>53</v>
      </c>
      <c r="B86" s="3" t="s">
        <v>52</v>
      </c>
      <c r="C86" s="3" t="s">
        <v>74</v>
      </c>
      <c r="D86" s="3" t="s">
        <v>65</v>
      </c>
      <c r="E86" s="3">
        <f>8*18.28</f>
        <v>146.24</v>
      </c>
      <c r="F86" s="3" t="s">
        <v>64</v>
      </c>
      <c r="G86" s="8">
        <v>5.3999999999999999E-2</v>
      </c>
      <c r="I86" s="3">
        <v>1</v>
      </c>
    </row>
    <row r="87" spans="1:9" x14ac:dyDescent="0.3">
      <c r="A87" s="5" t="s">
        <v>54</v>
      </c>
      <c r="B87" s="3" t="s">
        <v>121</v>
      </c>
      <c r="C87" s="8" t="s">
        <v>79</v>
      </c>
      <c r="D87" s="3" t="s">
        <v>66</v>
      </c>
      <c r="E87" s="15">
        <f>0.15*93.54</f>
        <v>14.031000000000001</v>
      </c>
      <c r="F87" s="3" t="s">
        <v>64</v>
      </c>
      <c r="G87" s="8">
        <v>0.18</v>
      </c>
      <c r="I87" s="3">
        <v>0</v>
      </c>
    </row>
    <row r="88" spans="1:9" x14ac:dyDescent="0.3">
      <c r="A88" s="5" t="s">
        <v>54</v>
      </c>
      <c r="B88" s="3" t="s">
        <v>121</v>
      </c>
      <c r="C88" s="8" t="s">
        <v>100</v>
      </c>
      <c r="D88" s="3" t="s">
        <v>65</v>
      </c>
      <c r="E88" s="15">
        <f>0.15*93.54</f>
        <v>14.031000000000001</v>
      </c>
      <c r="F88" s="3" t="s">
        <v>64</v>
      </c>
      <c r="G88" s="8">
        <v>0.45</v>
      </c>
      <c r="I88" s="3">
        <v>0</v>
      </c>
    </row>
    <row r="89" spans="1:9" x14ac:dyDescent="0.3">
      <c r="A89" s="5" t="s">
        <v>54</v>
      </c>
      <c r="B89" s="3" t="s">
        <v>126</v>
      </c>
      <c r="C89" s="8" t="s">
        <v>79</v>
      </c>
      <c r="D89" s="3" t="s">
        <v>66</v>
      </c>
      <c r="E89" s="15">
        <f>0.15*27.76</f>
        <v>4.1639999999999997</v>
      </c>
      <c r="F89" s="3" t="s">
        <v>64</v>
      </c>
      <c r="G89" s="8">
        <v>0.18</v>
      </c>
      <c r="I89" s="3">
        <v>0</v>
      </c>
    </row>
    <row r="90" spans="1:9" x14ac:dyDescent="0.3">
      <c r="A90" s="5" t="s">
        <v>54</v>
      </c>
      <c r="B90" s="3" t="s">
        <v>126</v>
      </c>
      <c r="C90" s="8" t="s">
        <v>100</v>
      </c>
      <c r="D90" s="3" t="s">
        <v>65</v>
      </c>
      <c r="E90" s="15">
        <f>0.15*27.76</f>
        <v>4.1639999999999997</v>
      </c>
      <c r="F90" s="3" t="s">
        <v>64</v>
      </c>
      <c r="G90" s="8">
        <v>0.45</v>
      </c>
      <c r="I90" s="3">
        <v>0</v>
      </c>
    </row>
    <row r="91" spans="1:9" x14ac:dyDescent="0.3">
      <c r="A91" s="5" t="s">
        <v>55</v>
      </c>
      <c r="B91" s="3" t="s">
        <v>25</v>
      </c>
      <c r="C91" s="3" t="s">
        <v>84</v>
      </c>
      <c r="D91" s="3" t="s">
        <v>66</v>
      </c>
      <c r="E91" s="3">
        <f>0.4*350</f>
        <v>140</v>
      </c>
      <c r="F91" s="3" t="s">
        <v>64</v>
      </c>
      <c r="G91" s="8">
        <v>0.08</v>
      </c>
      <c r="I91" s="3">
        <v>0</v>
      </c>
    </row>
    <row r="92" spans="1:9" x14ac:dyDescent="0.3">
      <c r="A92" s="5" t="s">
        <v>55</v>
      </c>
      <c r="B92" s="3" t="s">
        <v>7</v>
      </c>
      <c r="C92" s="3" t="s">
        <v>84</v>
      </c>
      <c r="D92" s="3" t="s">
        <v>66</v>
      </c>
      <c r="E92" s="3">
        <f>0.2*50</f>
        <v>10</v>
      </c>
      <c r="F92" s="3" t="s">
        <v>64</v>
      </c>
      <c r="G92" s="8">
        <v>0.08</v>
      </c>
      <c r="I92" s="3">
        <v>0</v>
      </c>
    </row>
    <row r="93" spans="1:9" x14ac:dyDescent="0.3">
      <c r="A93" s="5" t="s">
        <v>55</v>
      </c>
      <c r="B93" s="3" t="s">
        <v>56</v>
      </c>
      <c r="C93" s="3" t="s">
        <v>84</v>
      </c>
      <c r="D93" s="3" t="s">
        <v>66</v>
      </c>
      <c r="E93" s="3">
        <f>0.2*250</f>
        <v>50</v>
      </c>
      <c r="F93" s="3" t="s">
        <v>64</v>
      </c>
      <c r="G93" s="8">
        <v>0.08</v>
      </c>
      <c r="I93" s="3">
        <v>0</v>
      </c>
    </row>
    <row r="94" spans="1:9" x14ac:dyDescent="0.3">
      <c r="A94" s="5" t="s">
        <v>55</v>
      </c>
      <c r="B94" s="3" t="s">
        <v>13</v>
      </c>
      <c r="C94" s="3" t="s">
        <v>84</v>
      </c>
      <c r="D94" s="3" t="s">
        <v>66</v>
      </c>
      <c r="E94" s="3" t="s">
        <v>64</v>
      </c>
      <c r="F94" s="3" t="s">
        <v>64</v>
      </c>
      <c r="G94" s="8">
        <v>0.08</v>
      </c>
      <c r="I94" s="3">
        <v>0</v>
      </c>
    </row>
    <row r="95" spans="1:9" s="8" customFormat="1" x14ac:dyDescent="0.3">
      <c r="A95" s="8" t="s">
        <v>57</v>
      </c>
      <c r="B95" s="8" t="s">
        <v>58</v>
      </c>
      <c r="C95" s="8" t="s">
        <v>96</v>
      </c>
      <c r="D95" s="8" t="s">
        <v>66</v>
      </c>
      <c r="E95" s="8">
        <f>0.03*15</f>
        <v>0.44999999999999996</v>
      </c>
      <c r="F95" s="3" t="s">
        <v>64</v>
      </c>
      <c r="G95" s="8">
        <v>1</v>
      </c>
      <c r="I95" s="3">
        <v>0</v>
      </c>
    </row>
    <row r="96" spans="1:9" s="8" customFormat="1" x14ac:dyDescent="0.3">
      <c r="A96" s="5" t="s">
        <v>57</v>
      </c>
      <c r="B96" s="8" t="s">
        <v>58</v>
      </c>
      <c r="C96" s="8" t="s">
        <v>97</v>
      </c>
      <c r="D96" s="8" t="s">
        <v>66</v>
      </c>
      <c r="E96" s="8">
        <f>0.25*15</f>
        <v>3.75</v>
      </c>
      <c r="F96" s="3" t="s">
        <v>64</v>
      </c>
      <c r="G96" s="8">
        <v>1</v>
      </c>
      <c r="I96" s="3">
        <v>0</v>
      </c>
    </row>
    <row r="97" spans="1:9" s="8" customFormat="1" x14ac:dyDescent="0.3">
      <c r="A97" s="5" t="s">
        <v>57</v>
      </c>
      <c r="B97" s="8" t="s">
        <v>58</v>
      </c>
      <c r="C97" s="8" t="s">
        <v>98</v>
      </c>
      <c r="D97" s="8" t="s">
        <v>66</v>
      </c>
      <c r="E97" s="8">
        <f>0.1*15</f>
        <v>1.5</v>
      </c>
      <c r="F97" s="3" t="s">
        <v>64</v>
      </c>
      <c r="G97" s="8">
        <v>0</v>
      </c>
      <c r="I97" s="3">
        <v>0</v>
      </c>
    </row>
    <row r="98" spans="1:9" s="8" customFormat="1" x14ac:dyDescent="0.3">
      <c r="A98" s="5" t="s">
        <v>57</v>
      </c>
      <c r="B98" s="8" t="s">
        <v>58</v>
      </c>
      <c r="C98" s="8" t="s">
        <v>99</v>
      </c>
      <c r="D98" s="8" t="s">
        <v>66</v>
      </c>
      <c r="E98" s="8">
        <f>0.1*15</f>
        <v>1.5</v>
      </c>
      <c r="F98" s="3" t="s">
        <v>64</v>
      </c>
      <c r="G98" s="8">
        <v>0</v>
      </c>
      <c r="I98" s="3">
        <v>0</v>
      </c>
    </row>
    <row r="99" spans="1:9" s="8" customFormat="1" x14ac:dyDescent="0.3">
      <c r="A99" s="5" t="s">
        <v>57</v>
      </c>
      <c r="B99" s="8" t="s">
        <v>59</v>
      </c>
      <c r="C99" s="8" t="s">
        <v>96</v>
      </c>
      <c r="D99" s="8" t="s">
        <v>66</v>
      </c>
      <c r="E99" s="8">
        <f>0.03*15</f>
        <v>0.44999999999999996</v>
      </c>
      <c r="F99" s="3" t="s">
        <v>64</v>
      </c>
      <c r="G99" s="8">
        <v>1</v>
      </c>
      <c r="I99" s="3">
        <v>0</v>
      </c>
    </row>
    <row r="100" spans="1:9" s="8" customFormat="1" x14ac:dyDescent="0.3">
      <c r="A100" s="5" t="s">
        <v>57</v>
      </c>
      <c r="B100" s="8" t="s">
        <v>59</v>
      </c>
      <c r="C100" s="8" t="s">
        <v>97</v>
      </c>
      <c r="D100" s="8" t="s">
        <v>66</v>
      </c>
      <c r="E100" s="8">
        <f>0.06*15</f>
        <v>0.89999999999999991</v>
      </c>
      <c r="F100" s="3" t="s">
        <v>64</v>
      </c>
      <c r="G100" s="8">
        <v>1</v>
      </c>
      <c r="I100" s="3">
        <v>0</v>
      </c>
    </row>
    <row r="101" spans="1:9" s="8" customFormat="1" x14ac:dyDescent="0.3">
      <c r="A101" s="5" t="s">
        <v>57</v>
      </c>
      <c r="B101" s="8" t="s">
        <v>59</v>
      </c>
      <c r="C101" s="8" t="s">
        <v>98</v>
      </c>
      <c r="D101" s="8" t="s">
        <v>66</v>
      </c>
      <c r="E101" s="8">
        <f>0.1*15</f>
        <v>1.5</v>
      </c>
      <c r="F101" s="3" t="s">
        <v>64</v>
      </c>
      <c r="G101" s="8">
        <v>0</v>
      </c>
      <c r="I101" s="3">
        <v>0</v>
      </c>
    </row>
    <row r="102" spans="1:9" s="8" customFormat="1" x14ac:dyDescent="0.3">
      <c r="A102" s="5" t="s">
        <v>57</v>
      </c>
      <c r="B102" s="8" t="s">
        <v>59</v>
      </c>
      <c r="C102" s="8" t="s">
        <v>99</v>
      </c>
      <c r="D102" s="8" t="s">
        <v>66</v>
      </c>
      <c r="E102" s="8">
        <f>0.1*15</f>
        <v>1.5</v>
      </c>
      <c r="F102" s="8" t="s">
        <v>64</v>
      </c>
      <c r="G102" s="8">
        <v>0</v>
      </c>
      <c r="I102" s="3">
        <v>0</v>
      </c>
    </row>
    <row r="103" spans="1:9" s="8" customFormat="1" x14ac:dyDescent="0.3">
      <c r="A103" s="5" t="s">
        <v>60</v>
      </c>
      <c r="B103" s="8" t="s">
        <v>13</v>
      </c>
      <c r="C103" s="8" t="s">
        <v>96</v>
      </c>
      <c r="D103" s="8" t="s">
        <v>66</v>
      </c>
      <c r="E103" s="8">
        <f>0.12*180</f>
        <v>21.599999999999998</v>
      </c>
      <c r="F103" s="8" t="s">
        <v>64</v>
      </c>
      <c r="G103" s="8">
        <v>1</v>
      </c>
      <c r="I103" s="3">
        <v>0</v>
      </c>
    </row>
    <row r="104" spans="1:9" s="8" customFormat="1" x14ac:dyDescent="0.3">
      <c r="A104" s="5" t="s">
        <v>60</v>
      </c>
      <c r="B104" s="8" t="s">
        <v>7</v>
      </c>
      <c r="C104" s="8" t="s">
        <v>127</v>
      </c>
      <c r="D104" s="8" t="s">
        <v>66</v>
      </c>
      <c r="E104" s="8">
        <f>0.15*60</f>
        <v>9</v>
      </c>
      <c r="F104" s="8" t="s">
        <v>64</v>
      </c>
      <c r="G104" s="8">
        <v>0.18</v>
      </c>
      <c r="I104" s="3">
        <v>0</v>
      </c>
    </row>
    <row r="105" spans="1:9" s="8" customFormat="1" x14ac:dyDescent="0.3">
      <c r="A105" s="5" t="s">
        <v>60</v>
      </c>
      <c r="B105" s="8" t="s">
        <v>7</v>
      </c>
      <c r="C105" s="8" t="s">
        <v>100</v>
      </c>
      <c r="D105" s="8" t="s">
        <v>65</v>
      </c>
      <c r="E105" s="8">
        <f>0.15*60</f>
        <v>9</v>
      </c>
      <c r="F105" s="8" t="s">
        <v>64</v>
      </c>
      <c r="G105" s="8">
        <v>0.45</v>
      </c>
      <c r="I105" s="3">
        <v>0</v>
      </c>
    </row>
    <row r="106" spans="1:9" x14ac:dyDescent="0.3">
      <c r="A106" s="5" t="s">
        <v>61</v>
      </c>
      <c r="B106" s="3" t="s">
        <v>7</v>
      </c>
      <c r="C106" s="3" t="s">
        <v>85</v>
      </c>
      <c r="D106" s="3">
        <f>0.1*250</f>
        <v>25</v>
      </c>
      <c r="E106" s="3" t="s">
        <v>64</v>
      </c>
      <c r="F106" s="3" t="s">
        <v>64</v>
      </c>
      <c r="G106" s="8">
        <v>0.05</v>
      </c>
      <c r="I106" s="3">
        <v>0</v>
      </c>
    </row>
    <row r="107" spans="1:9" x14ac:dyDescent="0.3">
      <c r="A107" s="5" t="s">
        <v>61</v>
      </c>
      <c r="B107" s="3" t="s">
        <v>7</v>
      </c>
      <c r="C107" s="3" t="s">
        <v>73</v>
      </c>
      <c r="D107" s="3">
        <f>0.25*250</f>
        <v>62.5</v>
      </c>
      <c r="E107" s="3" t="s">
        <v>64</v>
      </c>
      <c r="F107" s="3" t="s">
        <v>64</v>
      </c>
      <c r="G107" s="8">
        <v>0.27</v>
      </c>
      <c r="I107" s="3">
        <v>0</v>
      </c>
    </row>
    <row r="108" spans="1:9" x14ac:dyDescent="0.3">
      <c r="A108" s="5" t="s">
        <v>61</v>
      </c>
      <c r="B108" s="3" t="s">
        <v>14</v>
      </c>
      <c r="C108" s="3" t="s">
        <v>85</v>
      </c>
      <c r="D108" s="3">
        <f>0.25*400</f>
        <v>100</v>
      </c>
      <c r="E108" s="3" t="s">
        <v>64</v>
      </c>
      <c r="F108" s="3" t="s">
        <v>64</v>
      </c>
      <c r="G108" s="8">
        <v>0.05</v>
      </c>
      <c r="I108" s="3">
        <v>0</v>
      </c>
    </row>
    <row r="109" spans="1:9" x14ac:dyDescent="0.3">
      <c r="A109" s="5" t="s">
        <v>61</v>
      </c>
      <c r="B109" s="3" t="s">
        <v>25</v>
      </c>
      <c r="C109" s="3" t="s">
        <v>85</v>
      </c>
      <c r="D109" s="3">
        <f>0.25*260</f>
        <v>65</v>
      </c>
      <c r="E109" s="3" t="s">
        <v>64</v>
      </c>
      <c r="F109" s="3" t="s">
        <v>64</v>
      </c>
      <c r="G109" s="8">
        <v>0.05</v>
      </c>
      <c r="I109" s="3">
        <v>0</v>
      </c>
    </row>
    <row r="110" spans="1:9" x14ac:dyDescent="0.3">
      <c r="A110" s="5" t="s">
        <v>62</v>
      </c>
      <c r="B110" s="3" t="s">
        <v>13</v>
      </c>
      <c r="C110" s="3" t="s">
        <v>98</v>
      </c>
      <c r="D110" s="3" t="s">
        <v>66</v>
      </c>
      <c r="E110" s="3">
        <f>0.15*360</f>
        <v>54</v>
      </c>
      <c r="F110" s="3" t="s">
        <v>64</v>
      </c>
      <c r="G110" s="8">
        <v>0</v>
      </c>
      <c r="I110" s="3">
        <v>0</v>
      </c>
    </row>
    <row r="111" spans="1:9" x14ac:dyDescent="0.3">
      <c r="A111" s="5" t="s">
        <v>62</v>
      </c>
      <c r="B111" s="3" t="s">
        <v>25</v>
      </c>
      <c r="C111" s="3" t="s">
        <v>98</v>
      </c>
      <c r="D111" s="3" t="s">
        <v>66</v>
      </c>
      <c r="E111" s="3">
        <f>0.15*250</f>
        <v>37.5</v>
      </c>
      <c r="F111" s="3" t="s">
        <v>64</v>
      </c>
      <c r="G111" s="8">
        <v>0</v>
      </c>
      <c r="I111" s="3">
        <v>0</v>
      </c>
    </row>
    <row r="112" spans="1:9" x14ac:dyDescent="0.3">
      <c r="A112" s="5" t="s">
        <v>62</v>
      </c>
      <c r="B112" s="3" t="s">
        <v>7</v>
      </c>
      <c r="C112" s="3" t="s">
        <v>98</v>
      </c>
      <c r="D112" s="3" t="s">
        <v>66</v>
      </c>
      <c r="E112" s="3">
        <f>0.15*45</f>
        <v>6.75</v>
      </c>
      <c r="F112" s="3" t="s">
        <v>64</v>
      </c>
      <c r="G112" s="8">
        <v>0</v>
      </c>
      <c r="I112" s="3">
        <v>0</v>
      </c>
    </row>
    <row r="113" spans="1:9" x14ac:dyDescent="0.3">
      <c r="A113" s="5" t="s">
        <v>62</v>
      </c>
      <c r="B113" s="3" t="s">
        <v>7</v>
      </c>
      <c r="C113" s="3" t="s">
        <v>101</v>
      </c>
      <c r="D113" s="3" t="s">
        <v>66</v>
      </c>
      <c r="E113" s="3">
        <f>0.15*45</f>
        <v>6.75</v>
      </c>
      <c r="F113" s="3" t="s">
        <v>64</v>
      </c>
      <c r="G113" s="8">
        <v>7.0000000000000007E-2</v>
      </c>
      <c r="I113" s="3">
        <v>0</v>
      </c>
    </row>
    <row r="114" spans="1:9" x14ac:dyDescent="0.3">
      <c r="A114" s="5" t="s">
        <v>62</v>
      </c>
      <c r="B114" s="3" t="s">
        <v>37</v>
      </c>
      <c r="C114" s="3" t="s">
        <v>98</v>
      </c>
      <c r="D114" s="3" t="s">
        <v>66</v>
      </c>
      <c r="E114" s="3">
        <f>0.15*25</f>
        <v>3.75</v>
      </c>
      <c r="F114" s="3" t="s">
        <v>64</v>
      </c>
      <c r="G114" s="8">
        <v>0</v>
      </c>
      <c r="I114" s="3">
        <v>0</v>
      </c>
    </row>
    <row r="115" spans="1:9" x14ac:dyDescent="0.3">
      <c r="A115" s="5" t="s">
        <v>62</v>
      </c>
      <c r="B115" s="3" t="s">
        <v>37</v>
      </c>
      <c r="C115" s="3" t="s">
        <v>101</v>
      </c>
      <c r="D115" s="3" t="s">
        <v>66</v>
      </c>
      <c r="E115" s="3">
        <f>0.15*25</f>
        <v>3.75</v>
      </c>
      <c r="F115" s="3" t="s">
        <v>64</v>
      </c>
      <c r="G115" s="8">
        <v>7.0000000000000007E-2</v>
      </c>
      <c r="I115" s="3">
        <v>0</v>
      </c>
    </row>
    <row r="116" spans="1:9" x14ac:dyDescent="0.3">
      <c r="A116" s="3" t="s">
        <v>102</v>
      </c>
      <c r="B116" s="3" t="s">
        <v>7</v>
      </c>
      <c r="C116" s="3" t="s">
        <v>127</v>
      </c>
      <c r="D116" s="3" t="s">
        <v>66</v>
      </c>
      <c r="E116" s="3">
        <f>0.15*40</f>
        <v>6</v>
      </c>
      <c r="F116" s="3" t="s">
        <v>64</v>
      </c>
      <c r="G116" s="8">
        <v>0.18</v>
      </c>
      <c r="I116" s="3">
        <v>0</v>
      </c>
    </row>
    <row r="117" spans="1:9" x14ac:dyDescent="0.3">
      <c r="A117" s="3" t="s">
        <v>102</v>
      </c>
      <c r="B117" s="3" t="s">
        <v>7</v>
      </c>
      <c r="C117" s="14" t="s">
        <v>69</v>
      </c>
      <c r="D117" s="3" t="s">
        <v>66</v>
      </c>
      <c r="E117" s="3">
        <f>0.15*40</f>
        <v>6</v>
      </c>
      <c r="F117" s="3" t="s">
        <v>64</v>
      </c>
      <c r="G117" s="8">
        <v>0.32</v>
      </c>
      <c r="I117" s="3">
        <v>0</v>
      </c>
    </row>
    <row r="118" spans="1:9" x14ac:dyDescent="0.3">
      <c r="A118" s="3" t="s">
        <v>102</v>
      </c>
      <c r="B118" s="3" t="s">
        <v>103</v>
      </c>
      <c r="C118" s="3" t="s">
        <v>127</v>
      </c>
      <c r="D118" s="3" t="s">
        <v>66</v>
      </c>
      <c r="E118" s="3">
        <f>0.15*25</f>
        <v>3.75</v>
      </c>
      <c r="F118" s="3" t="s">
        <v>64</v>
      </c>
      <c r="G118" s="8">
        <v>0.18</v>
      </c>
      <c r="I118" s="3">
        <v>0</v>
      </c>
    </row>
    <row r="119" spans="1:9" x14ac:dyDescent="0.3">
      <c r="A119" s="3" t="s">
        <v>102</v>
      </c>
      <c r="B119" s="3" t="s">
        <v>103</v>
      </c>
      <c r="C119" s="3" t="s">
        <v>69</v>
      </c>
      <c r="D119" s="3" t="s">
        <v>66</v>
      </c>
      <c r="E119" s="3">
        <f>0.15*25</f>
        <v>3.75</v>
      </c>
      <c r="F119" s="3" t="s">
        <v>64</v>
      </c>
      <c r="G119" s="8">
        <v>0.32</v>
      </c>
      <c r="I119" s="3">
        <v>0</v>
      </c>
    </row>
    <row r="120" spans="1:9" x14ac:dyDescent="0.3">
      <c r="A120" s="3" t="s">
        <v>105</v>
      </c>
      <c r="B120" s="3" t="s">
        <v>7</v>
      </c>
      <c r="C120" s="3" t="s">
        <v>106</v>
      </c>
      <c r="D120" s="3" t="s">
        <v>65</v>
      </c>
      <c r="E120" s="3">
        <f>0.2*200</f>
        <v>40</v>
      </c>
      <c r="F120" s="3" t="s">
        <v>64</v>
      </c>
      <c r="G120" s="8">
        <v>0</v>
      </c>
      <c r="I120" s="3">
        <v>0</v>
      </c>
    </row>
    <row r="121" spans="1:9" x14ac:dyDescent="0.3">
      <c r="A121" s="3" t="s">
        <v>105</v>
      </c>
      <c r="B121" s="3" t="s">
        <v>7</v>
      </c>
      <c r="C121" s="3" t="s">
        <v>100</v>
      </c>
      <c r="D121" s="3" t="s">
        <v>65</v>
      </c>
      <c r="E121" s="3">
        <f>0.1*200</f>
        <v>20</v>
      </c>
      <c r="F121" s="3" t="s">
        <v>64</v>
      </c>
      <c r="G121" s="8">
        <v>0.45</v>
      </c>
      <c r="I121" s="3">
        <v>0</v>
      </c>
    </row>
    <row r="122" spans="1:9" x14ac:dyDescent="0.3">
      <c r="A122" s="3" t="s">
        <v>105</v>
      </c>
      <c r="B122" s="3" t="s">
        <v>104</v>
      </c>
      <c r="C122" s="3" t="s">
        <v>106</v>
      </c>
      <c r="D122" s="3" t="s">
        <v>65</v>
      </c>
      <c r="E122" s="3">
        <f>0.2*30</f>
        <v>6</v>
      </c>
      <c r="F122" s="3" t="s">
        <v>64</v>
      </c>
      <c r="G122" s="8">
        <v>0</v>
      </c>
      <c r="I122" s="3">
        <v>0</v>
      </c>
    </row>
    <row r="123" spans="1:9" x14ac:dyDescent="0.3">
      <c r="A123" s="3" t="s">
        <v>105</v>
      </c>
      <c r="B123" s="3" t="s">
        <v>28</v>
      </c>
      <c r="C123" s="3" t="s">
        <v>107</v>
      </c>
      <c r="D123" s="3" t="s">
        <v>66</v>
      </c>
      <c r="E123" s="3">
        <f>0.35*30</f>
        <v>10.5</v>
      </c>
      <c r="F123" s="3" t="s">
        <v>64</v>
      </c>
      <c r="G123" s="8">
        <v>0</v>
      </c>
      <c r="I123" s="3">
        <v>0</v>
      </c>
    </row>
    <row r="124" spans="1:9" x14ac:dyDescent="0.3">
      <c r="A124" s="3" t="s">
        <v>105</v>
      </c>
      <c r="B124" s="3" t="s">
        <v>28</v>
      </c>
      <c r="C124" s="3" t="s">
        <v>108</v>
      </c>
      <c r="D124" s="3" t="s">
        <v>66</v>
      </c>
      <c r="E124" s="3">
        <f>0.15*30</f>
        <v>4.5</v>
      </c>
      <c r="F124" s="3" t="s">
        <v>64</v>
      </c>
      <c r="G124" s="8">
        <v>0.15</v>
      </c>
      <c r="I124" s="3">
        <v>0</v>
      </c>
    </row>
    <row r="125" spans="1:9" x14ac:dyDescent="0.3">
      <c r="A125" s="3" t="s">
        <v>105</v>
      </c>
      <c r="B125" s="3" t="s">
        <v>28</v>
      </c>
      <c r="C125" s="3" t="s">
        <v>69</v>
      </c>
      <c r="D125" s="3" t="s">
        <v>66</v>
      </c>
      <c r="E125" s="3">
        <f>0.7*30</f>
        <v>21</v>
      </c>
      <c r="F125" s="3" t="s">
        <v>64</v>
      </c>
      <c r="G125" s="8">
        <v>0.32</v>
      </c>
      <c r="I125" s="3">
        <v>0</v>
      </c>
    </row>
    <row r="126" spans="1:9" x14ac:dyDescent="0.3">
      <c r="A126" s="3" t="s">
        <v>105</v>
      </c>
      <c r="B126" s="3" t="s">
        <v>28</v>
      </c>
      <c r="C126" s="3" t="s">
        <v>109</v>
      </c>
      <c r="D126" s="3" t="s">
        <v>65</v>
      </c>
      <c r="E126" s="3">
        <f>120*30</f>
        <v>3600</v>
      </c>
      <c r="F126" s="3" t="s">
        <v>64</v>
      </c>
      <c r="G126" s="8">
        <v>0.03</v>
      </c>
      <c r="I126" s="3">
        <v>0</v>
      </c>
    </row>
    <row r="127" spans="1:9" x14ac:dyDescent="0.3">
      <c r="A127" s="3" t="s">
        <v>111</v>
      </c>
      <c r="B127" s="3" t="s">
        <v>13</v>
      </c>
      <c r="C127" s="3" t="s">
        <v>98</v>
      </c>
      <c r="D127" s="3" t="s">
        <v>66</v>
      </c>
      <c r="E127" s="3">
        <f>16*140/1000</f>
        <v>2.2400000000000002</v>
      </c>
      <c r="F127" s="3" t="s">
        <v>64</v>
      </c>
      <c r="G127" s="3">
        <v>0</v>
      </c>
      <c r="I127" s="3">
        <v>0</v>
      </c>
    </row>
    <row r="128" spans="1:9" x14ac:dyDescent="0.3">
      <c r="A128" s="3" t="s">
        <v>111</v>
      </c>
      <c r="B128" s="3" t="s">
        <v>7</v>
      </c>
      <c r="C128" s="3" t="s">
        <v>112</v>
      </c>
      <c r="D128" s="3" t="s">
        <v>66</v>
      </c>
      <c r="E128" s="3">
        <f>100*40/1000</f>
        <v>4</v>
      </c>
      <c r="F128" s="3" t="s">
        <v>64</v>
      </c>
      <c r="G128" s="3">
        <v>0.2</v>
      </c>
      <c r="I128" s="3">
        <v>0</v>
      </c>
    </row>
    <row r="129" spans="1:9" x14ac:dyDescent="0.3">
      <c r="A129" s="3" t="s">
        <v>111</v>
      </c>
      <c r="B129" s="3" t="s">
        <v>110</v>
      </c>
      <c r="C129" s="3" t="s">
        <v>63</v>
      </c>
      <c r="D129" s="3" t="s">
        <v>66</v>
      </c>
      <c r="E129" s="15">
        <f>600*5/1000</f>
        <v>3</v>
      </c>
      <c r="F129" s="3" t="s">
        <v>64</v>
      </c>
      <c r="G129" s="3">
        <v>0</v>
      </c>
      <c r="I129" s="3">
        <v>0</v>
      </c>
    </row>
    <row r="130" spans="1:9" x14ac:dyDescent="0.3">
      <c r="A130" s="3" t="s">
        <v>113</v>
      </c>
      <c r="B130" s="3" t="s">
        <v>7</v>
      </c>
      <c r="C130" s="3" t="s">
        <v>73</v>
      </c>
      <c r="D130" s="3" t="s">
        <v>66</v>
      </c>
      <c r="E130" s="3">
        <f>10*40/1000</f>
        <v>0.4</v>
      </c>
      <c r="F130" s="3" t="s">
        <v>64</v>
      </c>
      <c r="G130" s="3">
        <v>0.27</v>
      </c>
      <c r="I130" s="3">
        <v>0</v>
      </c>
    </row>
    <row r="131" spans="1:9" x14ac:dyDescent="0.3">
      <c r="A131" s="3" t="s">
        <v>114</v>
      </c>
      <c r="B131" s="3" t="s">
        <v>13</v>
      </c>
      <c r="C131" s="3" t="s">
        <v>78</v>
      </c>
      <c r="D131" s="3" t="s">
        <v>66</v>
      </c>
      <c r="E131" s="3">
        <f>120*730/1000</f>
        <v>87.6</v>
      </c>
      <c r="F131" s="3" t="s">
        <v>64</v>
      </c>
      <c r="G131" s="3">
        <v>0</v>
      </c>
      <c r="I131" s="3">
        <v>0</v>
      </c>
    </row>
    <row r="132" spans="1:9" x14ac:dyDescent="0.3">
      <c r="A132" s="3" t="s">
        <v>116</v>
      </c>
      <c r="B132" s="4" t="s">
        <v>115</v>
      </c>
      <c r="C132" s="3" t="s">
        <v>85</v>
      </c>
      <c r="D132" s="3" t="s">
        <v>66</v>
      </c>
      <c r="E132" s="3">
        <f>150*30/1000</f>
        <v>4.5</v>
      </c>
      <c r="F132" s="3" t="s">
        <v>64</v>
      </c>
      <c r="G132" s="3">
        <v>0.05</v>
      </c>
      <c r="I132" s="3">
        <v>0</v>
      </c>
    </row>
    <row r="133" spans="1:9" x14ac:dyDescent="0.3">
      <c r="A133" s="3" t="s">
        <v>116</v>
      </c>
      <c r="B133" s="4" t="s">
        <v>26</v>
      </c>
      <c r="C133" s="3" t="s">
        <v>117</v>
      </c>
      <c r="D133" s="3" t="s">
        <v>66</v>
      </c>
      <c r="E133" s="3">
        <f>150*15/1000</f>
        <v>2.25</v>
      </c>
      <c r="F133" s="3" t="s">
        <v>64</v>
      </c>
      <c r="G133" s="3">
        <v>0.05</v>
      </c>
      <c r="I133" s="3">
        <v>0</v>
      </c>
    </row>
    <row r="134" spans="1:9" x14ac:dyDescent="0.3">
      <c r="A134" s="3" t="s">
        <v>118</v>
      </c>
      <c r="B134" s="4" t="s">
        <v>7</v>
      </c>
      <c r="C134" s="3" t="s">
        <v>79</v>
      </c>
      <c r="D134" s="3" t="s">
        <v>66</v>
      </c>
      <c r="E134" s="3">
        <f>120*30/1000</f>
        <v>3.6</v>
      </c>
      <c r="F134" s="3" t="s">
        <v>64</v>
      </c>
      <c r="G134" s="3">
        <v>0.18</v>
      </c>
      <c r="I134" s="3">
        <v>0</v>
      </c>
    </row>
    <row r="135" spans="1:9" x14ac:dyDescent="0.3">
      <c r="A135" s="3" t="s">
        <v>118</v>
      </c>
      <c r="B135" s="4" t="s">
        <v>7</v>
      </c>
      <c r="C135" s="3" t="s">
        <v>100</v>
      </c>
      <c r="D135" s="3" t="s">
        <v>65</v>
      </c>
      <c r="E135" s="3">
        <f>110*30/1000</f>
        <v>3.3</v>
      </c>
      <c r="F135" s="3" t="s">
        <v>64</v>
      </c>
      <c r="G135" s="8">
        <v>0.45</v>
      </c>
      <c r="I135" s="3">
        <v>0</v>
      </c>
    </row>
    <row r="136" spans="1:9" x14ac:dyDescent="0.3">
      <c r="A136" s="3" t="s">
        <v>119</v>
      </c>
      <c r="B136" s="4" t="s">
        <v>103</v>
      </c>
      <c r="C136" s="3" t="s">
        <v>85</v>
      </c>
      <c r="D136" s="3" t="s">
        <v>66</v>
      </c>
      <c r="E136" s="3">
        <f>250*20/1000</f>
        <v>5</v>
      </c>
      <c r="F136" s="3" t="s">
        <v>64</v>
      </c>
      <c r="G136" s="3">
        <v>0.5</v>
      </c>
      <c r="I136" s="3">
        <v>0</v>
      </c>
    </row>
    <row r="137" spans="1:9" x14ac:dyDescent="0.3">
      <c r="A137" s="3" t="s">
        <v>120</v>
      </c>
      <c r="B137" s="4" t="s">
        <v>126</v>
      </c>
      <c r="C137" s="3" t="s">
        <v>79</v>
      </c>
      <c r="D137" s="3" t="s">
        <v>66</v>
      </c>
      <c r="E137" s="3">
        <f>30*1450/1000</f>
        <v>43.5</v>
      </c>
      <c r="F137" s="3" t="s">
        <v>64</v>
      </c>
      <c r="G137" s="3">
        <v>0.18</v>
      </c>
      <c r="I137" s="3">
        <v>0</v>
      </c>
    </row>
    <row r="138" spans="1:9" x14ac:dyDescent="0.3">
      <c r="A138" s="3" t="s">
        <v>120</v>
      </c>
      <c r="B138" s="4" t="s">
        <v>13</v>
      </c>
      <c r="C138" s="3" t="s">
        <v>63</v>
      </c>
      <c r="D138" s="3" t="s">
        <v>66</v>
      </c>
      <c r="E138" s="15">
        <f>200*80/1000</f>
        <v>16</v>
      </c>
      <c r="F138" s="3" t="s">
        <v>64</v>
      </c>
      <c r="G138" s="3">
        <v>0</v>
      </c>
      <c r="I138" s="3">
        <v>0</v>
      </c>
    </row>
    <row r="139" spans="1:9" x14ac:dyDescent="0.3">
      <c r="A139" s="3" t="s">
        <v>122</v>
      </c>
      <c r="B139" s="16" t="s">
        <v>25</v>
      </c>
      <c r="C139" s="3" t="s">
        <v>98</v>
      </c>
      <c r="D139" s="3" t="s">
        <v>66</v>
      </c>
      <c r="E139" s="3">
        <f>120*54/1000</f>
        <v>6.48</v>
      </c>
      <c r="F139" s="3" t="s">
        <v>64</v>
      </c>
      <c r="G139" s="3">
        <v>0</v>
      </c>
      <c r="I139" s="3">
        <v>0</v>
      </c>
    </row>
    <row r="140" spans="1:9" x14ac:dyDescent="0.3">
      <c r="A140" s="3" t="s">
        <v>123</v>
      </c>
      <c r="B140" s="4" t="s">
        <v>25</v>
      </c>
      <c r="C140" s="3" t="s">
        <v>63</v>
      </c>
      <c r="D140" s="3" t="s">
        <v>66</v>
      </c>
      <c r="E140" s="3">
        <v>45.8</v>
      </c>
      <c r="F140" s="3" t="s">
        <v>64</v>
      </c>
      <c r="G140" s="3">
        <v>0</v>
      </c>
      <c r="I140" s="3">
        <v>0</v>
      </c>
    </row>
    <row r="141" spans="1:9" x14ac:dyDescent="0.3">
      <c r="A141" s="3" t="s">
        <v>123</v>
      </c>
      <c r="B141" s="4" t="s">
        <v>124</v>
      </c>
      <c r="C141" s="3" t="s">
        <v>63</v>
      </c>
      <c r="D141" s="3" t="s">
        <v>66</v>
      </c>
      <c r="E141" s="3">
        <v>12</v>
      </c>
      <c r="F141" s="3" t="s">
        <v>64</v>
      </c>
      <c r="G141" s="3">
        <v>0</v>
      </c>
      <c r="I141" s="3">
        <v>0</v>
      </c>
    </row>
    <row r="142" spans="1:9" x14ac:dyDescent="0.3">
      <c r="A142" s="3" t="s">
        <v>125</v>
      </c>
      <c r="B142" s="4" t="s">
        <v>25</v>
      </c>
      <c r="C142" s="3" t="s">
        <v>98</v>
      </c>
      <c r="D142" s="3" t="s">
        <v>66</v>
      </c>
      <c r="E142" s="3">
        <f>150*30/1000</f>
        <v>4.5</v>
      </c>
      <c r="F142" s="3" t="s">
        <v>64</v>
      </c>
      <c r="G142" s="3">
        <v>0</v>
      </c>
      <c r="I142" s="3">
        <v>0</v>
      </c>
    </row>
  </sheetData>
  <autoFilter ref="A1:J142" xr:uid="{FA168544-3143-47B5-AADE-71EC22EF820E}"/>
  <phoneticPr fontId="9" type="noConversion"/>
  <pageMargins left="0.75" right="0.75" top="1" bottom="1" header="0.5" footer="0.5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sqref="A1:C1"/>
    </sheetView>
  </sheetViews>
  <sheetFormatPr defaultColWidth="11.19921875" defaultRowHeight="15.6" x14ac:dyDescent="0.3"/>
  <cols>
    <col min="1" max="1" width="14" customWidth="1"/>
    <col min="2" max="2" width="18.296875" customWidth="1"/>
    <col min="3" max="3" width="23.5" customWidth="1"/>
    <col min="4" max="4" width="40" customWidth="1"/>
  </cols>
  <sheetData>
    <row r="1" spans="1:4" x14ac:dyDescent="0.3">
      <c r="A1" s="1" t="s">
        <v>88</v>
      </c>
      <c r="B1" s="2" t="s">
        <v>89</v>
      </c>
      <c r="C1" s="2" t="s">
        <v>92</v>
      </c>
      <c r="D1" s="2" t="s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Dictionary_Fertilizers</vt:lpstr>
      <vt:lpstr>Main!Print_Area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Manuel Santos</cp:lastModifiedBy>
  <dcterms:created xsi:type="dcterms:W3CDTF">2019-05-25T12:19:09Z</dcterms:created>
  <dcterms:modified xsi:type="dcterms:W3CDTF">2020-01-28T14:25:10Z</dcterms:modified>
</cp:coreProperties>
</file>