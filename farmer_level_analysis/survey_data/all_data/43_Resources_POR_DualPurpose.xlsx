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nel\OneDrive - Universidade de Lisboa\Projetos I&amp;D\Animal Future\Questionários\"/>
    </mc:Choice>
  </mc:AlternateContent>
  <xr:revisionPtr revIDLastSave="0" documentId="13_ncr:1_{3437055F-DA27-4DCF-B513-A7335BA33337}" xr6:coauthVersionLast="45" xr6:coauthVersionMax="45" xr10:uidLastSave="{00000000-0000-0000-0000-000000000000}"/>
  <bookViews>
    <workbookView xWindow="-110" yWindow="-110" windowWidth="21820" windowHeight="14020" tabRatio="500" xr2:uid="{00000000-000D-0000-FFFF-FFFF00000000}"/>
  </bookViews>
  <sheets>
    <sheet name="Sheet1" sheetId="1" r:id="rId1"/>
    <sheet name="Folha1" sheetId="2" r:id="rId2"/>
  </sheets>
  <definedNames>
    <definedName name="_xlnm._FilterDatabase" localSheetId="0" hidden="1">Sheet1!$A$1:$K$28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2" l="1"/>
  <c r="H13" i="2"/>
  <c r="H12" i="2"/>
  <c r="D1" i="2"/>
  <c r="B1" i="2"/>
  <c r="I23" i="1"/>
  <c r="J23" i="1" s="1"/>
  <c r="I19" i="1"/>
  <c r="I8" i="1"/>
  <c r="J8" i="1" s="1"/>
  <c r="I6" i="1"/>
  <c r="J6" i="1" s="1"/>
  <c r="I30" i="1"/>
  <c r="I5" i="1"/>
  <c r="J5" i="1" s="1"/>
  <c r="J37" i="1"/>
  <c r="J38" i="1"/>
  <c r="J39" i="1"/>
  <c r="J40" i="1"/>
  <c r="J41" i="1"/>
  <c r="J42" i="1"/>
  <c r="J43" i="1"/>
  <c r="J44" i="1"/>
  <c r="I24" i="1"/>
  <c r="J24" i="1"/>
  <c r="J34" i="1"/>
  <c r="J35" i="1"/>
  <c r="J36" i="1"/>
  <c r="I33" i="1"/>
  <c r="J33" i="1"/>
  <c r="J30" i="1"/>
  <c r="J31" i="1"/>
  <c r="J32" i="1"/>
  <c r="J29" i="1"/>
  <c r="J20" i="1"/>
  <c r="J28" i="1"/>
  <c r="J27" i="1"/>
  <c r="J26" i="1"/>
  <c r="J25" i="1"/>
  <c r="J22" i="1"/>
  <c r="J21" i="1"/>
  <c r="J19" i="1"/>
  <c r="J18" i="1"/>
  <c r="J17" i="1"/>
  <c r="J16" i="1"/>
  <c r="J15" i="1"/>
  <c r="J14" i="1"/>
  <c r="J13" i="1"/>
  <c r="J12" i="1"/>
  <c r="J11" i="1"/>
  <c r="J10" i="1"/>
  <c r="J9" i="1"/>
  <c r="J7" i="1"/>
  <c r="J4" i="1"/>
  <c r="J3" i="1"/>
  <c r="I2" i="1"/>
  <c r="J2" i="1"/>
</calcChain>
</file>

<file path=xl/sharedStrings.xml><?xml version="1.0" encoding="utf-8"?>
<sst xmlns="http://schemas.openxmlformats.org/spreadsheetml/2006/main" count="56" uniqueCount="56">
  <si>
    <t>PT01</t>
  </si>
  <si>
    <t>PT02</t>
  </si>
  <si>
    <t>PT00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</si>
  <si>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</si>
  <si>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</si>
  <si>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</si>
  <si>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</si>
  <si>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</si>
  <si>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</si>
  <si>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</si>
  <si>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</si>
  <si>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</si>
  <si>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</si>
  <si>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</si>
  <si>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</si>
  <si>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</si>
  <si>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</si>
  <si>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</si>
  <si>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</si>
  <si>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</si>
  <si>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</si>
  <si>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</si>
  <si>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</si>
  <si>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</si>
  <si>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</si>
  <si>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</si>
  <si>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</si>
  <si>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ha</t>
  </si>
  <si>
    <t>FARM_ID</t>
  </si>
  <si>
    <t>DieselConsumption</t>
  </si>
  <si>
    <t>BenzineConsumption</t>
  </si>
  <si>
    <t>GasConsumption</t>
  </si>
  <si>
    <t>ElectricityConsumption</t>
  </si>
  <si>
    <t>RenewableEnergyFraction</t>
  </si>
  <si>
    <t>IrrigatedArea</t>
  </si>
  <si>
    <t>WaterUseAnimals</t>
  </si>
  <si>
    <t>WaterUseIrrigation</t>
  </si>
  <si>
    <t>WaterUseTotal</t>
  </si>
  <si>
    <t>PT28</t>
  </si>
  <si>
    <t>PT29</t>
  </si>
  <si>
    <t>PT31</t>
  </si>
  <si>
    <t>PT30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</si>
  <si>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</si>
  <si>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</si>
  <si>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</si>
  <si>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</si>
  <si>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</si>
  <si>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</si>
  <si>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</si>
  <si>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</si>
  <si>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</si>
  <si>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</si>
  <si>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</si>
  <si>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</si>
  <si>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Diesel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</si>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</sst>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/>
    <xf numFmtId="1" fontId="0" fillId="0" borderId="0" xfId="0" applyNumberFormat="1" applyFill="1" applyAlignment="1">
      <alignment horizontal="center"/>
    </xf>
    <xf numFmtId="0" fontId="0" fillId="0" borderId="0" xfId="0" applyFill="1"/>
    <xf numFmtId="1" fontId="4" fillId="0" borderId="0" xfId="0" applyNumberFormat="1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9" fontId="0" fillId="0" borderId="0" xfId="3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Fill="1" applyBorder="1"/>
    <xf numFmtId="0" fontId="1" fillId="0" borderId="0" xfId="0" applyFont="1" applyAlignment="1">
      <alignment horizontal="center" wrapText="1"/>
    </xf>
    <xf numFmtId="9" fontId="0" fillId="0" borderId="0" xfId="3" applyFont="1"/>
    <xf numFmtId="9" fontId="0" fillId="0" borderId="0" xfId="3" applyFont="1" applyFill="1" applyBorder="1"/>
    <xf numFmtId="10" fontId="0" fillId="0" borderId="0" xfId="3" applyNumberFormat="1" applyFont="1"/>
  </cellXfs>
  <cellStyles count="4">
    <cellStyle name="Hiperligação" xfId="1" builtinId="8" hidden="1"/>
    <cellStyle name="Hiperligação Visitada" xfId="2" builtinId="9" hidden="1"/>
    <cellStyle name="Normal" xfId="0" builtinId="0"/>
    <cellStyle name="Percentagem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pane ySplit="1" topLeftCell="A26" activePane="bottomLeft" state="frozen"/>
      <selection pane="bottomLeft" activeCell="F48" sqref="F48"/>
    </sheetView>
  </sheetViews>
  <sheetFormatPr defaultColWidth="11.1640625" defaultRowHeight="15.5" x14ac:dyDescent="0.35"/>
  <cols>
    <col min="1" max="1" width="8.83203125" customWidth="1"/>
    <col min="2" max="2" width="17.4140625" bestFit="1" customWidth="1"/>
    <col min="3" max="3" width="19" bestFit="1" customWidth="1"/>
    <col min="4" max="4" width="15.4140625" bestFit="1" customWidth="1"/>
    <col min="5" max="5" width="20.5" style="3" bestFit="1" customWidth="1"/>
    <col min="6" max="6" width="22.83203125" customWidth="1"/>
    <col min="7" max="7" width="12.1640625" customWidth="1"/>
    <col min="8" max="8" width="16" customWidth="1"/>
    <col min="9" max="9" width="17.1640625" customWidth="1"/>
    <col min="10" max="10" width="13.58203125" bestFit="1" customWidth="1"/>
    <col min="11" max="11" width="4.9140625" style="2" bestFit="1" customWidth="1"/>
    <col min="12" max="13" width="4.83203125" bestFit="1" customWidth="1"/>
    <col min="14" max="14" width="5.83203125" bestFit="1" customWidth="1"/>
    <col min="15" max="15" width="4.83203125" bestFit="1" customWidth="1"/>
    <col min="16" max="16" width="6.33203125" bestFit="1" customWidth="1"/>
    <col min="17" max="18" width="4.83203125" bestFit="1" customWidth="1"/>
    <col min="19" max="19" width="5.83203125" bestFit="1" customWidth="1"/>
    <col min="20" max="20" width="4.83203125" bestFit="1" customWidth="1"/>
    <col min="21" max="21" width="5.83203125" bestFit="1" customWidth="1"/>
  </cols>
  <sheetData>
    <row r="1" spans="1:11" x14ac:dyDescent="0.35">
      <c r="A1" s="4" t="s">
        <v>28</v>
      </c>
      <c r="B1" s="5" t="s">
        <v>29</v>
      </c>
      <c r="C1" s="5" t="s">
        <v>30</v>
      </c>
      <c r="D1" s="5" t="s">
        <v>31</v>
      </c>
      <c r="E1" s="16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14" t="s">
        <v>27</v>
      </c>
    </row>
    <row r="2" spans="1:11" x14ac:dyDescent="0.35">
      <c r="A2" s="1" t="s">
        <v>2</v>
      </c>
      <c r="B2" s="2">
        <v>2400</v>
      </c>
      <c r="C2" s="2">
        <v>1674</v>
      </c>
      <c r="D2" s="2">
        <v>0</v>
      </c>
      <c r="E2" s="2">
        <v>49941</v>
      </c>
      <c r="F2" s="2">
        <v>0</v>
      </c>
      <c r="G2" s="2">
        <v>70.599999999999994</v>
      </c>
      <c r="H2" s="2">
        <v>3560.21</v>
      </c>
      <c r="I2" s="2">
        <f>150000000/1000</f>
        <v>150000</v>
      </c>
      <c r="J2" s="2">
        <f>H2+I2</f>
        <v>153560.21</v>
      </c>
      <c r="K2" s="9">
        <v>400</v>
      </c>
    </row>
    <row r="3" spans="1:11" x14ac:dyDescent="0.35">
      <c r="A3" s="1" t="s">
        <v>0</v>
      </c>
      <c r="B3" s="2">
        <v>702</v>
      </c>
      <c r="C3" s="2">
        <v>0</v>
      </c>
      <c r="D3" s="2">
        <v>0</v>
      </c>
      <c r="E3" s="2">
        <v>2000</v>
      </c>
      <c r="F3" s="2">
        <v>0</v>
      </c>
      <c r="G3" s="2">
        <v>0</v>
      </c>
      <c r="H3" s="2">
        <v>428.14499999999998</v>
      </c>
      <c r="I3" s="2">
        <v>0</v>
      </c>
      <c r="J3" s="2">
        <f>H3+I3</f>
        <v>428.14499999999998</v>
      </c>
      <c r="K3" s="9">
        <v>117</v>
      </c>
    </row>
    <row r="4" spans="1:11" x14ac:dyDescent="0.35">
      <c r="A4" s="1" t="s">
        <v>1</v>
      </c>
      <c r="B4" s="2">
        <v>2205.06</v>
      </c>
      <c r="C4" s="2">
        <v>0</v>
      </c>
      <c r="D4" s="2">
        <v>0</v>
      </c>
      <c r="E4" s="2">
        <v>6869</v>
      </c>
      <c r="F4" s="2">
        <v>0</v>
      </c>
      <c r="G4" s="2">
        <v>0</v>
      </c>
      <c r="H4" s="2">
        <v>1005.21</v>
      </c>
      <c r="I4" s="2">
        <v>0</v>
      </c>
      <c r="J4" s="2">
        <f>H4+I4</f>
        <v>1005.21</v>
      </c>
      <c r="K4" s="9">
        <v>368</v>
      </c>
    </row>
    <row r="5" spans="1:11" x14ac:dyDescent="0.35">
      <c r="A5" s="1" t="s">
        <v>3</v>
      </c>
      <c r="B5" s="2">
        <v>20700</v>
      </c>
      <c r="C5" s="2">
        <v>0</v>
      </c>
      <c r="D5" s="2">
        <v>0</v>
      </c>
      <c r="E5" s="2">
        <v>64486</v>
      </c>
      <c r="F5" s="2">
        <v>0</v>
      </c>
      <c r="G5" s="2">
        <v>78.900000000000006</v>
      </c>
      <c r="H5" s="2">
        <v>54302.875</v>
      </c>
      <c r="I5" s="2">
        <f>5000*G5</f>
        <v>394500</v>
      </c>
      <c r="J5" s="2">
        <f>H5+I5</f>
        <v>448802.875</v>
      </c>
      <c r="K5" s="9">
        <v>3450</v>
      </c>
    </row>
    <row r="6" spans="1:11" x14ac:dyDescent="0.35">
      <c r="A6" s="1" t="s">
        <v>4</v>
      </c>
      <c r="B6" s="2">
        <v>2106</v>
      </c>
      <c r="C6" s="2">
        <v>0</v>
      </c>
      <c r="D6" s="2">
        <v>0</v>
      </c>
      <c r="E6" s="2">
        <v>20378</v>
      </c>
      <c r="F6" s="2">
        <v>0</v>
      </c>
      <c r="G6" s="2">
        <v>30</v>
      </c>
      <c r="H6" s="2">
        <v>80942.399999999994</v>
      </c>
      <c r="I6" s="2">
        <f>5000*G6</f>
        <v>150000</v>
      </c>
      <c r="J6" s="2">
        <f>H6+I6</f>
        <v>230942.4</v>
      </c>
      <c r="K6" s="9">
        <v>351</v>
      </c>
    </row>
    <row r="7" spans="1:11" x14ac:dyDescent="0.35">
      <c r="A7" s="1" t="s">
        <v>5</v>
      </c>
      <c r="B7" s="2">
        <v>2742</v>
      </c>
      <c r="C7" s="2">
        <v>0</v>
      </c>
      <c r="D7" s="2">
        <v>0</v>
      </c>
      <c r="E7" s="2">
        <v>8542</v>
      </c>
      <c r="F7" s="2">
        <v>0</v>
      </c>
      <c r="G7" s="2">
        <v>0</v>
      </c>
      <c r="H7" s="2">
        <v>6971.1350000000002</v>
      </c>
      <c r="I7" s="2">
        <v>0</v>
      </c>
      <c r="J7" s="2">
        <f>H7+I7</f>
        <v>6971.1350000000002</v>
      </c>
      <c r="K7" s="9">
        <v>457</v>
      </c>
    </row>
    <row r="8" spans="1:11" x14ac:dyDescent="0.35">
      <c r="A8" s="1" t="s">
        <v>6</v>
      </c>
      <c r="B8" s="2">
        <v>1155.9000000000001</v>
      </c>
      <c r="C8" s="2">
        <v>0</v>
      </c>
      <c r="D8" s="2">
        <v>0</v>
      </c>
      <c r="E8" s="2">
        <v>4624</v>
      </c>
      <c r="F8" s="2">
        <v>0</v>
      </c>
      <c r="G8" s="2">
        <v>13</v>
      </c>
      <c r="H8" s="2">
        <v>5339.95</v>
      </c>
      <c r="I8" s="2">
        <f>G8*3000</f>
        <v>39000</v>
      </c>
      <c r="J8" s="2">
        <f>H8+I8</f>
        <v>44339.95</v>
      </c>
      <c r="K8" s="9">
        <v>193</v>
      </c>
    </row>
    <row r="9" spans="1:11" x14ac:dyDescent="0.35">
      <c r="A9" s="1" t="s">
        <v>7</v>
      </c>
      <c r="B9" s="2">
        <v>1368.48</v>
      </c>
      <c r="C9" s="2">
        <v>0</v>
      </c>
      <c r="D9" s="2">
        <v>0</v>
      </c>
      <c r="E9" s="2">
        <v>4263</v>
      </c>
      <c r="F9" s="2">
        <v>0</v>
      </c>
      <c r="G9" s="2">
        <v>0</v>
      </c>
      <c r="H9" s="2">
        <v>1095</v>
      </c>
      <c r="I9" s="2">
        <v>0</v>
      </c>
      <c r="J9" s="2">
        <f>H9+I9</f>
        <v>1095</v>
      </c>
      <c r="K9" s="9">
        <v>228</v>
      </c>
    </row>
    <row r="10" spans="1:11" x14ac:dyDescent="0.35">
      <c r="A10" s="1" t="s">
        <v>8</v>
      </c>
      <c r="B10" s="2">
        <v>2630.04</v>
      </c>
      <c r="C10" s="2">
        <v>0</v>
      </c>
      <c r="D10" s="2">
        <v>0</v>
      </c>
      <c r="E10" s="2">
        <v>10520</v>
      </c>
      <c r="F10" s="2">
        <v>0</v>
      </c>
      <c r="G10" s="2">
        <v>0</v>
      </c>
      <c r="H10" s="2">
        <v>5358.2</v>
      </c>
      <c r="I10" s="2">
        <v>0</v>
      </c>
      <c r="J10" s="2">
        <f>H10+I10</f>
        <v>5358.2</v>
      </c>
      <c r="K10" s="9">
        <v>438</v>
      </c>
    </row>
    <row r="11" spans="1:11" x14ac:dyDescent="0.35">
      <c r="A11" s="1" t="s">
        <v>9</v>
      </c>
      <c r="B11" s="2">
        <v>2875.08</v>
      </c>
      <c r="C11" s="2">
        <v>0</v>
      </c>
      <c r="D11" s="2">
        <v>0</v>
      </c>
      <c r="E11" s="2">
        <v>8957</v>
      </c>
      <c r="F11" s="2">
        <v>0</v>
      </c>
      <c r="G11" s="2">
        <v>0</v>
      </c>
      <c r="H11" s="2">
        <v>6403.9250000000002</v>
      </c>
      <c r="I11" s="2">
        <v>0</v>
      </c>
      <c r="J11" s="2">
        <f>H11+I11</f>
        <v>6403.9250000000002</v>
      </c>
      <c r="K11" s="9">
        <v>479</v>
      </c>
    </row>
    <row r="12" spans="1:11" x14ac:dyDescent="0.35">
      <c r="A12" s="1" t="s">
        <v>10</v>
      </c>
      <c r="B12" s="2">
        <v>2700</v>
      </c>
      <c r="C12" s="2">
        <v>0</v>
      </c>
      <c r="D12" s="2">
        <v>0</v>
      </c>
      <c r="E12" s="2">
        <v>8411</v>
      </c>
      <c r="F12" s="2">
        <v>0</v>
      </c>
      <c r="G12" s="2">
        <v>0</v>
      </c>
      <c r="H12" s="2">
        <v>1384.08</v>
      </c>
      <c r="I12" s="2">
        <v>0</v>
      </c>
      <c r="J12" s="2">
        <f>H12+I12</f>
        <v>1384.08</v>
      </c>
      <c r="K12" s="9">
        <v>440</v>
      </c>
    </row>
    <row r="13" spans="1:11" x14ac:dyDescent="0.35">
      <c r="A13" s="1" t="s">
        <v>11</v>
      </c>
      <c r="B13" s="2">
        <v>4666.2000000000007</v>
      </c>
      <c r="C13" s="2">
        <v>0</v>
      </c>
      <c r="D13" s="2">
        <v>0</v>
      </c>
      <c r="E13" s="2">
        <v>14536</v>
      </c>
      <c r="F13" s="2">
        <v>0</v>
      </c>
      <c r="G13" s="2">
        <v>0</v>
      </c>
      <c r="H13" s="2">
        <v>7889.4750000000004</v>
      </c>
      <c r="I13" s="2">
        <v>0</v>
      </c>
      <c r="J13" s="2">
        <f>H13+I13</f>
        <v>7889.4750000000004</v>
      </c>
      <c r="K13" s="9">
        <v>777</v>
      </c>
    </row>
    <row r="14" spans="1:11" x14ac:dyDescent="0.35">
      <c r="A14" s="1" t="s">
        <v>12</v>
      </c>
      <c r="B14" s="2">
        <v>1895.52</v>
      </c>
      <c r="C14" s="2">
        <v>0</v>
      </c>
      <c r="D14" s="2">
        <v>0</v>
      </c>
      <c r="E14" s="2">
        <v>5905</v>
      </c>
      <c r="F14" s="2">
        <v>0</v>
      </c>
      <c r="G14" s="2">
        <v>0</v>
      </c>
      <c r="H14" s="2">
        <v>3733.95</v>
      </c>
      <c r="I14" s="2">
        <v>0</v>
      </c>
      <c r="J14" s="2">
        <f>H14+I14</f>
        <v>3733.95</v>
      </c>
      <c r="K14" s="9">
        <v>316</v>
      </c>
    </row>
    <row r="15" spans="1:11" x14ac:dyDescent="0.35">
      <c r="A15" s="1" t="s">
        <v>13</v>
      </c>
      <c r="B15" s="2">
        <v>3258</v>
      </c>
      <c r="C15" s="2">
        <v>0</v>
      </c>
      <c r="D15" s="2">
        <v>0</v>
      </c>
      <c r="E15" s="2">
        <v>10150</v>
      </c>
      <c r="F15" s="2">
        <v>0</v>
      </c>
      <c r="G15" s="2">
        <v>0</v>
      </c>
      <c r="H15" s="2">
        <v>6966.0249999999996</v>
      </c>
      <c r="I15" s="2">
        <v>0</v>
      </c>
      <c r="J15" s="2">
        <f>H15+I15</f>
        <v>6966.0249999999996</v>
      </c>
      <c r="K15" s="9">
        <v>543</v>
      </c>
    </row>
    <row r="16" spans="1:11" x14ac:dyDescent="0.35">
      <c r="A16" s="1" t="s">
        <v>14</v>
      </c>
      <c r="B16" s="2">
        <v>1716</v>
      </c>
      <c r="C16" s="2">
        <v>0</v>
      </c>
      <c r="D16" s="2">
        <v>0</v>
      </c>
      <c r="E16" s="2">
        <v>20000</v>
      </c>
      <c r="F16" s="2">
        <v>0</v>
      </c>
      <c r="G16" s="2">
        <v>30.89</v>
      </c>
      <c r="H16" s="2">
        <v>6022.5</v>
      </c>
      <c r="I16" s="2">
        <v>21600</v>
      </c>
      <c r="J16" s="2">
        <f>H16+I16</f>
        <v>27622.5</v>
      </c>
      <c r="K16" s="9">
        <v>286</v>
      </c>
    </row>
    <row r="17" spans="1:11" x14ac:dyDescent="0.35">
      <c r="A17" s="1" t="s">
        <v>15</v>
      </c>
      <c r="B17" s="2">
        <v>1578</v>
      </c>
      <c r="C17" s="2">
        <v>0</v>
      </c>
      <c r="D17" s="2">
        <v>0</v>
      </c>
      <c r="E17" s="2">
        <v>4495.7264957264961</v>
      </c>
      <c r="F17" s="2">
        <v>0</v>
      </c>
      <c r="G17" s="2">
        <v>0</v>
      </c>
      <c r="H17" s="2">
        <v>963.6</v>
      </c>
      <c r="I17" s="2">
        <v>0</v>
      </c>
      <c r="J17" s="2">
        <f>H17+I17</f>
        <v>963.6</v>
      </c>
      <c r="K17" s="9">
        <v>263</v>
      </c>
    </row>
    <row r="18" spans="1:11" x14ac:dyDescent="0.35">
      <c r="A18" s="1" t="s">
        <v>16</v>
      </c>
      <c r="B18" s="2">
        <v>138</v>
      </c>
      <c r="C18" s="2">
        <v>0</v>
      </c>
      <c r="D18" s="2">
        <v>0</v>
      </c>
      <c r="E18" s="2">
        <v>430</v>
      </c>
      <c r="F18" s="2">
        <v>0</v>
      </c>
      <c r="G18" s="2">
        <v>0</v>
      </c>
      <c r="H18" s="2">
        <v>401.5</v>
      </c>
      <c r="I18" s="2">
        <v>0</v>
      </c>
      <c r="J18" s="2">
        <f>H18+I18</f>
        <v>401.5</v>
      </c>
      <c r="K18" s="9">
        <v>23</v>
      </c>
    </row>
    <row r="19" spans="1:11" x14ac:dyDescent="0.35">
      <c r="A19" s="1" t="s">
        <v>17</v>
      </c>
      <c r="B19" s="2">
        <v>3500</v>
      </c>
      <c r="C19" s="2">
        <v>0</v>
      </c>
      <c r="D19" s="2">
        <v>0</v>
      </c>
      <c r="E19" s="2">
        <v>6168</v>
      </c>
      <c r="F19" s="2">
        <v>0</v>
      </c>
      <c r="G19" s="2">
        <v>62</v>
      </c>
      <c r="H19" s="2">
        <v>6464.15</v>
      </c>
      <c r="I19" s="2">
        <f>G19*5000</f>
        <v>310000</v>
      </c>
      <c r="J19" s="2">
        <f>H19+I19</f>
        <v>316464.15000000002</v>
      </c>
      <c r="K19" s="9">
        <v>330</v>
      </c>
    </row>
    <row r="20" spans="1:11" x14ac:dyDescent="0.35">
      <c r="A20" s="1" t="s">
        <v>18</v>
      </c>
      <c r="B20" s="2">
        <v>2640</v>
      </c>
      <c r="C20" s="2">
        <v>0</v>
      </c>
      <c r="D20" s="2">
        <v>0</v>
      </c>
      <c r="E20" s="2">
        <v>8224</v>
      </c>
      <c r="F20" s="2">
        <v>0</v>
      </c>
      <c r="G20" s="2">
        <v>0</v>
      </c>
      <c r="H20" s="2">
        <v>1512.1949999999999</v>
      </c>
      <c r="I20" s="2">
        <v>0</v>
      </c>
      <c r="J20" s="2">
        <f>H20+I20</f>
        <v>1512.1949999999999</v>
      </c>
      <c r="K20" s="9">
        <v>436</v>
      </c>
    </row>
    <row r="21" spans="1:11" x14ac:dyDescent="0.35">
      <c r="A21" s="1" t="s">
        <v>19</v>
      </c>
      <c r="B21" s="2">
        <v>2370</v>
      </c>
      <c r="C21" s="2">
        <v>0</v>
      </c>
      <c r="D21" s="2">
        <v>0</v>
      </c>
      <c r="E21" s="2">
        <v>6752.136752136752</v>
      </c>
      <c r="F21" s="2">
        <v>0</v>
      </c>
      <c r="G21" s="2">
        <v>0</v>
      </c>
      <c r="H21" s="2">
        <v>2271.395</v>
      </c>
      <c r="I21" s="2">
        <v>0</v>
      </c>
      <c r="J21" s="2">
        <f>H21+I21</f>
        <v>2271.395</v>
      </c>
      <c r="K21" s="9">
        <v>395</v>
      </c>
    </row>
    <row r="22" spans="1:11" x14ac:dyDescent="0.35">
      <c r="A22" s="1" t="s">
        <v>20</v>
      </c>
      <c r="B22" s="2">
        <v>8350</v>
      </c>
      <c r="C22" s="2">
        <v>0</v>
      </c>
      <c r="D22" s="2">
        <v>0</v>
      </c>
      <c r="E22" s="2">
        <v>2482</v>
      </c>
      <c r="F22" s="2">
        <v>0</v>
      </c>
      <c r="G22" s="2">
        <v>50</v>
      </c>
      <c r="H22" s="2">
        <v>2067.7249999999999</v>
      </c>
      <c r="I22" s="2">
        <v>20000</v>
      </c>
      <c r="J22" s="2">
        <f>H22+I22</f>
        <v>22067.724999999999</v>
      </c>
      <c r="K22" s="9">
        <v>103</v>
      </c>
    </row>
    <row r="23" spans="1:11" x14ac:dyDescent="0.35">
      <c r="A23" s="1" t="s">
        <v>21</v>
      </c>
      <c r="B23" s="2">
        <v>1008</v>
      </c>
      <c r="C23" s="2">
        <v>0</v>
      </c>
      <c r="D23" s="2">
        <v>0</v>
      </c>
      <c r="E23" s="2">
        <v>3140</v>
      </c>
      <c r="F23" s="2">
        <v>0</v>
      </c>
      <c r="G23" s="2">
        <v>10</v>
      </c>
      <c r="H23" s="2">
        <v>3037.895</v>
      </c>
      <c r="I23" s="2">
        <f>G23*5000</f>
        <v>50000</v>
      </c>
      <c r="J23" s="2">
        <f>H23+I23</f>
        <v>53037.894999999997</v>
      </c>
      <c r="K23" s="9">
        <v>162</v>
      </c>
    </row>
    <row r="24" spans="1:11" x14ac:dyDescent="0.35">
      <c r="A24" s="1" t="s">
        <v>22</v>
      </c>
      <c r="B24" s="2">
        <v>43500</v>
      </c>
      <c r="C24" s="2">
        <v>0</v>
      </c>
      <c r="D24" s="2">
        <v>0</v>
      </c>
      <c r="E24" s="2">
        <v>52336</v>
      </c>
      <c r="F24" s="2">
        <v>0</v>
      </c>
      <c r="G24" s="2">
        <v>400</v>
      </c>
      <c r="H24" s="2">
        <v>41314.35</v>
      </c>
      <c r="I24" s="2">
        <f>2958685650/1000</f>
        <v>2958685.65</v>
      </c>
      <c r="J24" s="2">
        <f>H24+I24</f>
        <v>3000000</v>
      </c>
      <c r="K24" s="9">
        <v>2800</v>
      </c>
    </row>
    <row r="25" spans="1:11" s="8" customFormat="1" x14ac:dyDescent="0.35">
      <c r="A25" s="6" t="s">
        <v>23</v>
      </c>
      <c r="B25" s="7">
        <v>1284</v>
      </c>
      <c r="C25" s="7">
        <v>0</v>
      </c>
      <c r="D25" s="7">
        <v>0</v>
      </c>
      <c r="E25" s="7">
        <v>4000</v>
      </c>
      <c r="F25" s="7">
        <v>0</v>
      </c>
      <c r="G25" s="7">
        <v>0</v>
      </c>
      <c r="H25" s="7">
        <v>2067.7249999999999</v>
      </c>
      <c r="I25" s="7">
        <v>0</v>
      </c>
      <c r="J25" s="7">
        <f>H25+I25</f>
        <v>2067.7249999999999</v>
      </c>
      <c r="K25" s="9">
        <v>58</v>
      </c>
    </row>
    <row r="26" spans="1:11" s="8" customFormat="1" x14ac:dyDescent="0.35">
      <c r="A26" s="6" t="s">
        <v>24</v>
      </c>
      <c r="B26" s="7">
        <v>1320</v>
      </c>
      <c r="C26" s="7">
        <v>0</v>
      </c>
      <c r="D26" s="7">
        <v>0</v>
      </c>
      <c r="E26" s="7">
        <v>4112</v>
      </c>
      <c r="F26" s="7">
        <v>0</v>
      </c>
      <c r="G26" s="7">
        <v>0</v>
      </c>
      <c r="H26" s="7">
        <v>3073.3</v>
      </c>
      <c r="I26" s="7">
        <v>0</v>
      </c>
      <c r="J26" s="7">
        <f>H26+I26</f>
        <v>3073.3</v>
      </c>
      <c r="K26" s="9">
        <v>220</v>
      </c>
    </row>
    <row r="27" spans="1:11" x14ac:dyDescent="0.35">
      <c r="A27" s="1" t="s">
        <v>25</v>
      </c>
      <c r="B27" s="2">
        <v>1494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2469.2249999999999</v>
      </c>
      <c r="I27" s="2">
        <v>0</v>
      </c>
      <c r="J27" s="2">
        <f>H27+I27</f>
        <v>2469.2249999999999</v>
      </c>
      <c r="K27" s="9">
        <v>249</v>
      </c>
    </row>
    <row r="28" spans="1:11" x14ac:dyDescent="0.35">
      <c r="A28" s="1" t="s">
        <v>26</v>
      </c>
      <c r="B28" s="2">
        <v>12000</v>
      </c>
      <c r="C28" s="2">
        <v>0</v>
      </c>
      <c r="D28" s="2">
        <v>0</v>
      </c>
      <c r="E28" s="2">
        <v>37383</v>
      </c>
      <c r="F28" s="2">
        <v>0</v>
      </c>
      <c r="G28" s="2">
        <v>0</v>
      </c>
      <c r="H28" s="2">
        <v>15939.55</v>
      </c>
      <c r="I28" s="2">
        <v>0</v>
      </c>
      <c r="J28" s="2">
        <f>H28+I28</f>
        <v>15939.55</v>
      </c>
      <c r="K28" s="9">
        <v>2000</v>
      </c>
    </row>
    <row r="29" spans="1:11" x14ac:dyDescent="0.35">
      <c r="A29" s="1" t="s">
        <v>38</v>
      </c>
      <c r="B29" s="2">
        <v>4278</v>
      </c>
      <c r="C29" s="2">
        <v>0</v>
      </c>
      <c r="D29" s="2">
        <v>0</v>
      </c>
      <c r="E29" s="2">
        <v>13084.11214953271</v>
      </c>
      <c r="F29" s="2">
        <v>0</v>
      </c>
      <c r="G29" s="2">
        <v>0</v>
      </c>
      <c r="H29" s="2">
        <v>6604.6750000000002</v>
      </c>
      <c r="I29" s="2">
        <v>0</v>
      </c>
      <c r="J29" s="2">
        <f>H29</f>
        <v>6604.6750000000002</v>
      </c>
      <c r="K29" s="9">
        <v>713</v>
      </c>
    </row>
    <row r="30" spans="1:11" x14ac:dyDescent="0.35">
      <c r="A30" s="1" t="s">
        <v>39</v>
      </c>
      <c r="B30" s="2">
        <v>348</v>
      </c>
      <c r="C30" s="2">
        <v>0</v>
      </c>
      <c r="D30" s="2">
        <v>0</v>
      </c>
      <c r="E30" s="2">
        <v>1084.1121495327102</v>
      </c>
      <c r="F30" s="2">
        <v>0</v>
      </c>
      <c r="G30" s="2">
        <v>12</v>
      </c>
      <c r="H30" s="2">
        <v>823.07500000000005</v>
      </c>
      <c r="I30" s="3">
        <f>5000*G30</f>
        <v>60000</v>
      </c>
      <c r="J30" s="2">
        <f>H30</f>
        <v>823.07500000000005</v>
      </c>
      <c r="K30" s="9">
        <v>55</v>
      </c>
    </row>
    <row r="31" spans="1:11" x14ac:dyDescent="0.35">
      <c r="A31" s="1" t="s">
        <v>41</v>
      </c>
      <c r="B31" s="2">
        <v>1980</v>
      </c>
      <c r="C31" s="2">
        <v>0</v>
      </c>
      <c r="D31" s="2">
        <v>0</v>
      </c>
      <c r="E31" s="2">
        <v>6168.2242990654204</v>
      </c>
      <c r="F31" s="2">
        <v>0</v>
      </c>
      <c r="G31" s="2">
        <v>0</v>
      </c>
      <c r="H31" s="2">
        <v>396.39</v>
      </c>
      <c r="I31" s="2">
        <v>0</v>
      </c>
      <c r="J31" s="2">
        <f>H31</f>
        <v>396.39</v>
      </c>
      <c r="K31" s="9">
        <v>330</v>
      </c>
    </row>
    <row r="32" spans="1:11" x14ac:dyDescent="0.35">
      <c r="A32" s="1" t="s">
        <v>40</v>
      </c>
      <c r="B32" s="2">
        <v>6000</v>
      </c>
      <c r="C32" s="2">
        <v>0</v>
      </c>
      <c r="D32" s="2">
        <v>0</v>
      </c>
      <c r="E32" s="2">
        <v>3551.4018691588785</v>
      </c>
      <c r="F32" s="2">
        <v>0</v>
      </c>
      <c r="G32" s="2">
        <v>0</v>
      </c>
      <c r="H32" s="2">
        <v>1485.55</v>
      </c>
      <c r="I32" s="2">
        <v>0</v>
      </c>
      <c r="J32" s="2">
        <f>H32</f>
        <v>1485.55</v>
      </c>
      <c r="K32" s="9">
        <v>185</v>
      </c>
    </row>
    <row r="33" spans="1:11" x14ac:dyDescent="0.35">
      <c r="A33" s="1" t="s">
        <v>42</v>
      </c>
      <c r="B33" s="2">
        <v>12432</v>
      </c>
      <c r="C33" s="2">
        <v>0</v>
      </c>
      <c r="D33" s="2">
        <v>0</v>
      </c>
      <c r="E33" s="2">
        <v>38728.971962616823</v>
      </c>
      <c r="F33" s="2">
        <v>0.25</v>
      </c>
      <c r="G33" s="2">
        <v>30</v>
      </c>
      <c r="H33" s="2">
        <v>20436.349999999999</v>
      </c>
      <c r="I33" s="3">
        <f>11500*30</f>
        <v>345000</v>
      </c>
      <c r="J33" s="2">
        <f>H33+I33</f>
        <v>365436.35</v>
      </c>
      <c r="K33" s="9">
        <v>2102</v>
      </c>
    </row>
    <row r="34" spans="1:11" x14ac:dyDescent="0.35">
      <c r="A34" s="1" t="s">
        <v>43</v>
      </c>
      <c r="B34" s="2">
        <v>2220</v>
      </c>
      <c r="C34" s="2">
        <v>0</v>
      </c>
      <c r="D34" s="2">
        <v>0</v>
      </c>
      <c r="E34" s="2">
        <v>6916</v>
      </c>
      <c r="F34" s="11">
        <v>0.25</v>
      </c>
      <c r="G34" s="2">
        <v>0</v>
      </c>
      <c r="H34" s="2">
        <v>2843.35</v>
      </c>
      <c r="I34" s="2">
        <v>0</v>
      </c>
      <c r="J34" s="2">
        <f>H34+I34</f>
        <v>2843.35</v>
      </c>
      <c r="K34" s="9">
        <v>370</v>
      </c>
    </row>
    <row r="35" spans="1:11" x14ac:dyDescent="0.35">
      <c r="A35" s="1" t="s">
        <v>44</v>
      </c>
      <c r="B35" s="2">
        <v>2100</v>
      </c>
      <c r="C35" s="2">
        <v>0</v>
      </c>
      <c r="D35" s="2">
        <v>0</v>
      </c>
      <c r="E35" s="2">
        <v>6168</v>
      </c>
      <c r="F35" s="2">
        <v>0</v>
      </c>
      <c r="G35" s="2">
        <v>5</v>
      </c>
      <c r="H35" s="2">
        <v>2368.85</v>
      </c>
      <c r="I35" s="3">
        <v>20000</v>
      </c>
      <c r="J35" s="2">
        <f>H35+I35</f>
        <v>22368.85</v>
      </c>
      <c r="K35" s="7">
        <v>350</v>
      </c>
    </row>
    <row r="36" spans="1:11" x14ac:dyDescent="0.35">
      <c r="A36" s="1" t="s">
        <v>45</v>
      </c>
      <c r="B36" s="2">
        <v>2286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3051.4</v>
      </c>
      <c r="I36" s="2">
        <v>0</v>
      </c>
      <c r="J36" s="2">
        <f>H36+I36</f>
        <v>3051.4</v>
      </c>
      <c r="K36" s="2">
        <v>381</v>
      </c>
    </row>
    <row r="37" spans="1:11" x14ac:dyDescent="0.35">
      <c r="A37" s="1" t="s">
        <v>46</v>
      </c>
      <c r="B37" s="3">
        <v>15000</v>
      </c>
      <c r="C37" s="2">
        <v>0</v>
      </c>
      <c r="D37" s="2">
        <v>0</v>
      </c>
      <c r="E37" s="2">
        <v>13645</v>
      </c>
      <c r="F37" s="2">
        <v>0</v>
      </c>
      <c r="G37" s="2">
        <v>0</v>
      </c>
      <c r="H37" s="2">
        <v>8331.125</v>
      </c>
      <c r="I37" s="3">
        <v>0</v>
      </c>
      <c r="J37" s="2">
        <f>I37+H37</f>
        <v>8331.125</v>
      </c>
      <c r="K37" s="2">
        <v>730</v>
      </c>
    </row>
    <row r="38" spans="1:11" x14ac:dyDescent="0.35">
      <c r="A38" s="1" t="s">
        <v>47</v>
      </c>
      <c r="B38" s="13">
        <v>1140</v>
      </c>
      <c r="C38" s="2">
        <v>0</v>
      </c>
      <c r="D38" s="2">
        <v>0</v>
      </c>
      <c r="E38" s="2">
        <v>3551</v>
      </c>
      <c r="F38" s="2">
        <v>0</v>
      </c>
      <c r="G38" s="2">
        <v>0</v>
      </c>
      <c r="H38" s="2">
        <v>2509.375</v>
      </c>
      <c r="I38" s="2">
        <v>0</v>
      </c>
      <c r="J38" s="2">
        <f>I38+H38</f>
        <v>2509.375</v>
      </c>
      <c r="K38" s="2">
        <v>190</v>
      </c>
    </row>
    <row r="39" spans="1:11" x14ac:dyDescent="0.35">
      <c r="A39" s="1" t="s">
        <v>48</v>
      </c>
      <c r="B39" s="13">
        <v>2598</v>
      </c>
      <c r="C39" s="2">
        <v>0</v>
      </c>
      <c r="D39" s="2">
        <v>0</v>
      </c>
      <c r="E39" s="2">
        <v>8093</v>
      </c>
      <c r="F39" s="2">
        <v>0</v>
      </c>
      <c r="G39" s="2">
        <v>0</v>
      </c>
      <c r="H39" s="2">
        <v>4115.375</v>
      </c>
      <c r="I39" s="2">
        <v>0</v>
      </c>
      <c r="J39" s="2">
        <f>I39+H39</f>
        <v>4115.375</v>
      </c>
      <c r="K39" s="2">
        <v>433</v>
      </c>
    </row>
    <row r="40" spans="1:11" x14ac:dyDescent="0.35">
      <c r="A40" s="1" t="s">
        <v>49</v>
      </c>
      <c r="B40" s="13">
        <v>6000</v>
      </c>
      <c r="C40" s="2">
        <v>0</v>
      </c>
      <c r="D40" s="2">
        <v>0</v>
      </c>
      <c r="E40" s="12">
        <v>5981</v>
      </c>
      <c r="F40" s="2">
        <v>0</v>
      </c>
      <c r="G40" s="2">
        <v>0</v>
      </c>
      <c r="H40" s="2">
        <v>4115.375</v>
      </c>
      <c r="I40" s="2">
        <v>0</v>
      </c>
      <c r="J40" s="2">
        <f>I40+H40</f>
        <v>4115.375</v>
      </c>
      <c r="K40" s="2">
        <v>320</v>
      </c>
    </row>
    <row r="41" spans="1:11" x14ac:dyDescent="0.35">
      <c r="A41" s="1" t="s">
        <v>50</v>
      </c>
      <c r="B41" s="13">
        <v>20000</v>
      </c>
      <c r="C41" s="2">
        <v>0</v>
      </c>
      <c r="D41" s="2">
        <v>0</v>
      </c>
      <c r="E41" s="12">
        <v>33645</v>
      </c>
      <c r="F41" s="2">
        <v>0</v>
      </c>
      <c r="G41" s="2">
        <v>42</v>
      </c>
      <c r="H41" s="2">
        <v>5468.0649999999996</v>
      </c>
      <c r="I41" s="2">
        <v>300000</v>
      </c>
      <c r="J41" s="2">
        <f>I41+H41</f>
        <v>305468.065</v>
      </c>
      <c r="K41" s="2">
        <v>1800</v>
      </c>
    </row>
    <row r="42" spans="1:11" x14ac:dyDescent="0.35">
      <c r="A42" s="1" t="s">
        <v>51</v>
      </c>
      <c r="B42" s="13">
        <v>2000</v>
      </c>
      <c r="C42" s="2">
        <v>0</v>
      </c>
      <c r="D42" s="2">
        <v>0</v>
      </c>
      <c r="E42" s="3">
        <v>0</v>
      </c>
      <c r="F42" s="2">
        <v>0</v>
      </c>
      <c r="G42" s="2">
        <v>0</v>
      </c>
      <c r="H42" s="2">
        <v>1485.55</v>
      </c>
      <c r="I42" s="2">
        <v>0</v>
      </c>
      <c r="J42" s="2">
        <f>I42+H42</f>
        <v>1485.55</v>
      </c>
      <c r="K42" s="2">
        <v>150</v>
      </c>
    </row>
    <row r="43" spans="1:11" x14ac:dyDescent="0.35">
      <c r="A43" s="1" t="s">
        <v>52</v>
      </c>
      <c r="B43" s="13">
        <v>2136</v>
      </c>
      <c r="C43" s="2">
        <v>0</v>
      </c>
      <c r="D43" s="2">
        <v>0</v>
      </c>
      <c r="E43" s="3">
        <v>6654</v>
      </c>
      <c r="F43" s="2">
        <v>0</v>
      </c>
      <c r="G43" s="2">
        <v>60</v>
      </c>
      <c r="H43" s="2">
        <v>7854.4350000000004</v>
      </c>
      <c r="I43" s="2">
        <v>338744</v>
      </c>
      <c r="J43" s="2">
        <f>I43+H43</f>
        <v>346598.435</v>
      </c>
      <c r="K43" s="2">
        <v>356</v>
      </c>
    </row>
    <row r="44" spans="1:11" x14ac:dyDescent="0.35">
      <c r="A44" s="1" t="s">
        <v>53</v>
      </c>
      <c r="B44" s="2">
        <v>3000</v>
      </c>
      <c r="C44" s="2">
        <v>0</v>
      </c>
      <c r="D44" s="2">
        <v>0</v>
      </c>
      <c r="E44" s="2">
        <v>8547.0085470085469</v>
      </c>
      <c r="F44" s="10">
        <v>0.25</v>
      </c>
      <c r="G44" s="2">
        <v>0</v>
      </c>
      <c r="H44" s="2">
        <v>4637.3249999999998</v>
      </c>
      <c r="I44" s="2">
        <v>0</v>
      </c>
      <c r="J44" s="2">
        <f>I44+H44</f>
        <v>4637.3249999999998</v>
      </c>
      <c r="K44" s="7">
        <v>500</v>
      </c>
    </row>
  </sheetData>
  <sortState xmlns:xlrd2="http://schemas.microsoft.com/office/spreadsheetml/2017/richdata2" ref="A2:K44">
    <sortCondition ref="A2:A44"/>
  </sortState>
  <phoneticPr fontId="5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138E-EF84-4D9F-B453-FDD235B49C39}">
  <dimension ref="A1:H44"/>
  <sheetViews>
    <sheetView workbookViewId="0">
      <selection activeCell="H18" sqref="H18"/>
    </sheetView>
  </sheetViews>
  <sheetFormatPr defaultRowHeight="15.5" x14ac:dyDescent="0.35"/>
  <cols>
    <col min="2" max="2" width="4.1640625" bestFit="1" customWidth="1"/>
  </cols>
  <sheetData>
    <row r="1" spans="1:8" ht="31" x14ac:dyDescent="0.35">
      <c r="A1" s="15" t="s">
        <v>54</v>
      </c>
      <c r="B1" s="18">
        <f>9/43</f>
        <v>0.20930232558139536</v>
      </c>
      <c r="C1" s="5" t="s">
        <v>55</v>
      </c>
      <c r="D1" s="17">
        <f>10/43</f>
        <v>0.23255813953488372</v>
      </c>
    </row>
    <row r="2" spans="1:8" x14ac:dyDescent="0.35">
      <c r="A2" s="15">
        <v>6</v>
      </c>
      <c r="B2" s="15"/>
      <c r="C2">
        <v>124.85250000000001</v>
      </c>
      <c r="D2">
        <v>1</v>
      </c>
    </row>
    <row r="3" spans="1:8" x14ac:dyDescent="0.35">
      <c r="A3" s="15">
        <v>6</v>
      </c>
      <c r="B3" s="15"/>
      <c r="C3">
        <v>17.094017094017094</v>
      </c>
    </row>
    <row r="4" spans="1:8" x14ac:dyDescent="0.35">
      <c r="A4" s="15">
        <v>5.9920108695652177</v>
      </c>
      <c r="B4" s="15"/>
      <c r="C4">
        <v>18.665760869565219</v>
      </c>
    </row>
    <row r="5" spans="1:8" x14ac:dyDescent="0.35">
      <c r="A5" s="15">
        <v>6</v>
      </c>
      <c r="B5" s="15"/>
      <c r="C5">
        <v>18.69159420289855</v>
      </c>
    </row>
    <row r="6" spans="1:8" x14ac:dyDescent="0.35">
      <c r="A6" s="15">
        <v>6</v>
      </c>
      <c r="B6" s="15"/>
      <c r="C6">
        <v>58.056980056980059</v>
      </c>
      <c r="D6">
        <v>1</v>
      </c>
    </row>
    <row r="7" spans="1:8" x14ac:dyDescent="0.35">
      <c r="A7" s="15">
        <v>6</v>
      </c>
      <c r="B7" s="15"/>
      <c r="C7">
        <v>18.691466083150985</v>
      </c>
    </row>
    <row r="8" spans="1:8" x14ac:dyDescent="0.35">
      <c r="A8" s="15">
        <v>5.9891191709844565</v>
      </c>
      <c r="B8" s="15"/>
      <c r="C8">
        <v>23.958549222797927</v>
      </c>
      <c r="D8">
        <v>1</v>
      </c>
    </row>
    <row r="9" spans="1:8" x14ac:dyDescent="0.35">
      <c r="A9" s="15">
        <v>6.0021052631578948</v>
      </c>
      <c r="B9" s="15"/>
      <c r="C9">
        <v>18.69736842105263</v>
      </c>
    </row>
    <row r="10" spans="1:8" x14ac:dyDescent="0.35">
      <c r="A10" s="15">
        <v>6.0046575342465749</v>
      </c>
      <c r="B10" s="15"/>
      <c r="C10">
        <v>24.018264840182649</v>
      </c>
      <c r="D10">
        <v>1</v>
      </c>
    </row>
    <row r="11" spans="1:8" x14ac:dyDescent="0.35">
      <c r="A11" s="15">
        <v>6.0022546972860127</v>
      </c>
      <c r="B11" s="15"/>
      <c r="C11">
        <v>18.699373695198329</v>
      </c>
    </row>
    <row r="12" spans="1:8" x14ac:dyDescent="0.35">
      <c r="A12" s="15">
        <v>6.1363636363636367</v>
      </c>
      <c r="B12" s="15"/>
      <c r="C12">
        <v>19.115909090909092</v>
      </c>
      <c r="H12" s="17">
        <f>31/43</f>
        <v>0.72093023255813948</v>
      </c>
    </row>
    <row r="13" spans="1:8" x14ac:dyDescent="0.35">
      <c r="A13" s="15">
        <v>6.0054054054054067</v>
      </c>
      <c r="B13" s="15"/>
      <c r="C13">
        <v>18.707850707850707</v>
      </c>
      <c r="H13" s="17">
        <f>41/43</f>
        <v>0.95348837209302328</v>
      </c>
    </row>
    <row r="14" spans="1:8" x14ac:dyDescent="0.35">
      <c r="A14" s="15">
        <v>5.9984810126582282</v>
      </c>
      <c r="B14" s="15"/>
      <c r="C14">
        <v>18.686708860759495</v>
      </c>
    </row>
    <row r="15" spans="1:8" x14ac:dyDescent="0.35">
      <c r="A15" s="15">
        <v>6</v>
      </c>
      <c r="B15" s="15"/>
      <c r="C15">
        <v>18.692449355432782</v>
      </c>
    </row>
    <row r="16" spans="1:8" x14ac:dyDescent="0.35">
      <c r="A16" s="15">
        <v>6</v>
      </c>
      <c r="B16" s="15"/>
      <c r="C16">
        <v>69.930069930069934</v>
      </c>
      <c r="D16">
        <v>1</v>
      </c>
    </row>
    <row r="17" spans="1:8" x14ac:dyDescent="0.35">
      <c r="A17" s="15">
        <v>6</v>
      </c>
      <c r="B17" s="15"/>
      <c r="C17">
        <v>17.094017094017094</v>
      </c>
    </row>
    <row r="18" spans="1:8" x14ac:dyDescent="0.35">
      <c r="A18" s="15">
        <v>6</v>
      </c>
      <c r="B18" s="15"/>
      <c r="C18">
        <v>18.695652173913043</v>
      </c>
      <c r="H18" s="19">
        <f>25000/1270000</f>
        <v>1.968503937007874E-2</v>
      </c>
    </row>
    <row r="19" spans="1:8" x14ac:dyDescent="0.35">
      <c r="A19" s="15">
        <v>10.606060606060606</v>
      </c>
      <c r="B19" s="15">
        <v>1</v>
      </c>
      <c r="C19">
        <v>18.690909090909091</v>
      </c>
    </row>
    <row r="20" spans="1:8" x14ac:dyDescent="0.35">
      <c r="A20" s="15">
        <v>6.0550458715596331</v>
      </c>
      <c r="B20" s="15"/>
      <c r="C20">
        <v>18.862385321100916</v>
      </c>
    </row>
    <row r="21" spans="1:8" x14ac:dyDescent="0.35">
      <c r="A21" s="15">
        <v>6</v>
      </c>
      <c r="B21" s="15"/>
      <c r="C21">
        <v>17.094017094017094</v>
      </c>
    </row>
    <row r="22" spans="1:8" x14ac:dyDescent="0.35">
      <c r="A22" s="15">
        <v>81.067961165048544</v>
      </c>
      <c r="B22" s="15">
        <v>1</v>
      </c>
      <c r="C22">
        <v>24.097087378640776</v>
      </c>
      <c r="D22">
        <v>1</v>
      </c>
    </row>
    <row r="23" spans="1:8" x14ac:dyDescent="0.35">
      <c r="A23" s="15">
        <v>6.2222222222222223</v>
      </c>
      <c r="B23" s="15"/>
      <c r="C23">
        <v>19.382716049382715</v>
      </c>
    </row>
    <row r="24" spans="1:8" x14ac:dyDescent="0.35">
      <c r="A24" s="15">
        <v>15.535714285714286</v>
      </c>
      <c r="B24" s="15">
        <v>1</v>
      </c>
      <c r="C24">
        <v>18.69142857142857</v>
      </c>
    </row>
    <row r="25" spans="1:8" x14ac:dyDescent="0.35">
      <c r="A25" s="15">
        <v>22.137931034482758</v>
      </c>
      <c r="B25" s="15">
        <v>1</v>
      </c>
      <c r="C25">
        <v>68.965517241379317</v>
      </c>
      <c r="D25">
        <v>1</v>
      </c>
    </row>
    <row r="26" spans="1:8" x14ac:dyDescent="0.35">
      <c r="A26" s="15">
        <v>6</v>
      </c>
      <c r="B26" s="15"/>
      <c r="C26">
        <v>18.690909090909091</v>
      </c>
    </row>
    <row r="27" spans="1:8" x14ac:dyDescent="0.35">
      <c r="A27" s="15">
        <v>6</v>
      </c>
      <c r="B27" s="15"/>
      <c r="C27">
        <v>0</v>
      </c>
      <c r="D27">
        <v>1</v>
      </c>
    </row>
    <row r="28" spans="1:8" x14ac:dyDescent="0.35">
      <c r="A28" s="15">
        <v>6</v>
      </c>
      <c r="B28" s="15"/>
      <c r="C28">
        <v>18.691500000000001</v>
      </c>
    </row>
    <row r="29" spans="1:8" x14ac:dyDescent="0.35">
      <c r="A29" s="15">
        <v>6</v>
      </c>
      <c r="B29" s="15"/>
      <c r="C29">
        <v>18.350788428517124</v>
      </c>
    </row>
    <row r="30" spans="1:8" x14ac:dyDescent="0.35">
      <c r="A30" s="15">
        <v>6.3272727272727272</v>
      </c>
      <c r="B30" s="15"/>
      <c r="C30">
        <v>19.711129991503821</v>
      </c>
    </row>
    <row r="31" spans="1:8" x14ac:dyDescent="0.35">
      <c r="A31" s="15">
        <v>6</v>
      </c>
      <c r="B31" s="15"/>
      <c r="C31">
        <v>18.691588785046729</v>
      </c>
    </row>
    <row r="32" spans="1:8" x14ac:dyDescent="0.35">
      <c r="A32" s="15">
        <v>32.432432432432435</v>
      </c>
      <c r="B32" s="15">
        <v>1</v>
      </c>
      <c r="C32">
        <v>19.196766860318263</v>
      </c>
    </row>
    <row r="33" spans="1:4" x14ac:dyDescent="0.35">
      <c r="A33" s="15">
        <v>5.9143672692673643</v>
      </c>
      <c r="B33" s="15"/>
      <c r="C33">
        <v>18.424820153480887</v>
      </c>
    </row>
    <row r="34" spans="1:4" x14ac:dyDescent="0.35">
      <c r="A34" s="15">
        <v>6</v>
      </c>
      <c r="B34" s="15"/>
      <c r="C34">
        <v>18.691891891891892</v>
      </c>
    </row>
    <row r="35" spans="1:4" x14ac:dyDescent="0.35">
      <c r="A35" s="15">
        <v>6</v>
      </c>
      <c r="B35" s="15"/>
      <c r="C35">
        <v>17.622857142857143</v>
      </c>
    </row>
    <row r="36" spans="1:4" x14ac:dyDescent="0.35">
      <c r="A36" s="15">
        <v>6</v>
      </c>
      <c r="B36" s="15"/>
      <c r="C36">
        <v>0</v>
      </c>
      <c r="D36">
        <v>1</v>
      </c>
    </row>
    <row r="37" spans="1:4" x14ac:dyDescent="0.35">
      <c r="A37" s="15">
        <v>20.547945205479451</v>
      </c>
      <c r="B37" s="15">
        <v>1</v>
      </c>
      <c r="C37">
        <v>18.69178082191781</v>
      </c>
    </row>
    <row r="38" spans="1:4" x14ac:dyDescent="0.35">
      <c r="A38" s="15">
        <v>6</v>
      </c>
      <c r="B38" s="15"/>
      <c r="C38">
        <v>18.689473684210526</v>
      </c>
    </row>
    <row r="39" spans="1:4" x14ac:dyDescent="0.35">
      <c r="A39" s="15">
        <v>6</v>
      </c>
      <c r="B39" s="15"/>
      <c r="C39">
        <v>18.690531177829101</v>
      </c>
    </row>
    <row r="40" spans="1:4" x14ac:dyDescent="0.35">
      <c r="A40" s="15">
        <v>18.75</v>
      </c>
      <c r="B40" s="15">
        <v>1</v>
      </c>
      <c r="C40">
        <v>18.690625000000001</v>
      </c>
    </row>
    <row r="41" spans="1:4" x14ac:dyDescent="0.35">
      <c r="A41" s="15">
        <v>11.111111111111111</v>
      </c>
      <c r="B41" s="15">
        <v>1</v>
      </c>
      <c r="C41">
        <v>18.691666666666666</v>
      </c>
    </row>
    <row r="42" spans="1:4" x14ac:dyDescent="0.35">
      <c r="A42" s="15">
        <v>13.333333333333334</v>
      </c>
      <c r="B42" s="15">
        <v>1</v>
      </c>
      <c r="C42">
        <v>0</v>
      </c>
      <c r="D42">
        <v>1</v>
      </c>
    </row>
    <row r="43" spans="1:4" x14ac:dyDescent="0.35">
      <c r="A43" s="15">
        <v>6</v>
      </c>
      <c r="B43" s="15"/>
      <c r="C43">
        <v>18.691011235955056</v>
      </c>
    </row>
    <row r="44" spans="1:4" x14ac:dyDescent="0.35">
      <c r="A44" s="15">
        <v>6</v>
      </c>
      <c r="B44" s="15"/>
      <c r="C44">
        <v>17.094017094017094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Sheet1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Paiva dos Santos</cp:lastModifiedBy>
  <dcterms:created xsi:type="dcterms:W3CDTF">2019-05-31T15:06:02Z</dcterms:created>
  <dcterms:modified xsi:type="dcterms:W3CDTF">2020-03-27T18:23:47Z</dcterms:modified>
</cp:coreProperties>
</file>