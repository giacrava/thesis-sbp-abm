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msantos\OneDrive - Universidade de Lisboa\Animal Future\Herdades_questionários\Francesco\"/>
    </mc:Choice>
  </mc:AlternateContent>
  <xr:revisionPtr revIDLastSave="0" documentId="13_ncr:1_{0E9F97C4-8A4D-4E6A-882B-C87A160914B3}" xr6:coauthVersionLast="44" xr6:coauthVersionMax="44" xr10:uidLastSave="{00000000-0000-0000-0000-000000000000}"/>
  <bookViews>
    <workbookView xWindow="-108" yWindow="-108" windowWidth="23256" windowHeight="12576" tabRatio="500" xr2:uid="{00000000-000D-0000-FFFF-FFFF00000000}"/>
  </bookViews>
  <sheets>
    <sheet name="Main" sheetId="1" r:id="rId1"/>
    <sheet name="Dictionary_Fertilizers" sheetId="2" r:id="rId2"/>
  </sheets>
  <definedNames>
    <definedName name="_xlnm._FilterDatabase" localSheetId="0" hidden="1">Main!$A$1:$H$63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" i="1" l="1"/>
  <c r="D2" i="1"/>
  <c r="D28" i="1"/>
  <c r="D27" i="1"/>
  <c r="D26" i="1"/>
  <c r="D23" i="1"/>
  <c r="D22" i="1"/>
  <c r="D14" i="1"/>
</calcChain>
</file>

<file path=xl/sharedStrings.xml><?xml version="1.0" encoding="utf-8"?>
<sst xmlns="http://schemas.openxmlformats.org/spreadsheetml/2006/main" count="260" uniqueCount="79">
  <si>
    <t>Fertilizer Type</t>
  </si>
  <si>
    <t>FARM ID</t>
  </si>
  <si>
    <t>FERTILIZER NAME</t>
  </si>
  <si>
    <t>Total Quantity tons [tons/ha]</t>
  </si>
  <si>
    <t>Total Quantity m3 [m3/ha]</t>
  </si>
  <si>
    <t>AREA NAME</t>
  </si>
  <si>
    <t>N content [tonsN/tonsFert] or [tonsN/m3]</t>
  </si>
  <si>
    <t>N content [0-1]</t>
  </si>
  <si>
    <t>Own Quantity [0-1]</t>
  </si>
  <si>
    <t>Application Method</t>
  </si>
  <si>
    <t>PT01</t>
  </si>
  <si>
    <t>PT02</t>
  </si>
  <si>
    <t>PT03</t>
  </si>
  <si>
    <t>PT04</t>
  </si>
  <si>
    <t>PT06</t>
  </si>
  <si>
    <t>PT07</t>
  </si>
  <si>
    <t>PT08</t>
  </si>
  <si>
    <t>PT09</t>
  </si>
  <si>
    <t>PT10</t>
  </si>
  <si>
    <t>PT13</t>
  </si>
  <si>
    <t>PT14</t>
  </si>
  <si>
    <t>PT15</t>
  </si>
  <si>
    <t>PT20</t>
  </si>
  <si>
    <t>Super 18%</t>
  </si>
  <si>
    <t>Artificial</t>
  </si>
  <si>
    <t>NotAppplicable</t>
  </si>
  <si>
    <t>Entec 25-15-20</t>
  </si>
  <si>
    <t>Lime</t>
  </si>
  <si>
    <t>Nitrogen solution 32N</t>
  </si>
  <si>
    <t>Amicote CV 46 (6-10-20)</t>
  </si>
  <si>
    <t>Amicote CV 60 (15-35-0)</t>
  </si>
  <si>
    <t>Physalg 15</t>
  </si>
  <si>
    <t>Nitro 27%</t>
  </si>
  <si>
    <t>Manure</t>
  </si>
  <si>
    <t>Amicote 0-26-0</t>
  </si>
  <si>
    <t>16-46-0</t>
  </si>
  <si>
    <t>24-0-0</t>
  </si>
  <si>
    <t>Organihum nitro-plus</t>
  </si>
  <si>
    <t>Organic</t>
  </si>
  <si>
    <t>Amicote CV 32 FERTIGAFSA (0-26,5-0)</t>
  </si>
  <si>
    <t>Patentkali 0-0-30</t>
  </si>
  <si>
    <t>8-24-8</t>
  </si>
  <si>
    <t>PT22</t>
  </si>
  <si>
    <t>5-15-5</t>
  </si>
  <si>
    <t>PT26</t>
  </si>
  <si>
    <t>Nitrolusal27</t>
  </si>
  <si>
    <t>Kornkali</t>
  </si>
  <si>
    <t>AmicoteCV60_15-35-0</t>
  </si>
  <si>
    <t>PT00</t>
  </si>
  <si>
    <t>PT24</t>
  </si>
  <si>
    <t>Nitrolusal 27%</t>
  </si>
  <si>
    <t>N</t>
  </si>
  <si>
    <t>N by irrigation</t>
  </si>
  <si>
    <t>Urea</t>
  </si>
  <si>
    <t>PT28</t>
  </si>
  <si>
    <t>P</t>
  </si>
  <si>
    <t>7-21-7</t>
  </si>
  <si>
    <t>PT31</t>
  </si>
  <si>
    <t>PT32</t>
  </si>
  <si>
    <t>Gafsa</t>
  </si>
  <si>
    <t>0-12-30</t>
  </si>
  <si>
    <t>15-35-0</t>
  </si>
  <si>
    <t>Slurry</t>
  </si>
  <si>
    <t>K</t>
  </si>
  <si>
    <t>PT21</t>
  </si>
  <si>
    <t>PT35</t>
  </si>
  <si>
    <t>PT34</t>
  </si>
  <si>
    <t>20-20-0</t>
  </si>
  <si>
    <t>PT36</t>
  </si>
  <si>
    <t>PT37</t>
  </si>
  <si>
    <t>PT38</t>
  </si>
  <si>
    <t>PT39</t>
  </si>
  <si>
    <t>PT40</t>
  </si>
  <si>
    <t>0-26-0</t>
  </si>
  <si>
    <t>5-15-6</t>
  </si>
  <si>
    <t>18-46-0</t>
  </si>
  <si>
    <t>PT41</t>
  </si>
  <si>
    <t>PT42</t>
  </si>
  <si>
    <t>PT43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</si>
</sst>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charset val="1"/>
    </font>
    <font>
      <sz val="12"/>
      <color indexed="8"/>
      <name val="Calibri"/>
      <family val="2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0" fillId="2" borderId="0" xfId="0" applyFill="1"/>
    <xf numFmtId="0" fontId="1" fillId="4" borderId="0" xfId="0" applyFont="1" applyFill="1"/>
    <xf numFmtId="0" fontId="1" fillId="0" borderId="0" xfId="0" applyFont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0" fontId="3" fillId="0" borderId="0" xfId="1" applyFont="1" applyFill="1" applyBorder="1" applyAlignment="1">
      <alignment horizontal="left"/>
    </xf>
    <xf numFmtId="2" fontId="0" fillId="0" borderId="0" xfId="0" applyNumberForma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workbookViewId="0">
      <selection activeCell="F48" sqref="F48"/>
    </sheetView>
  </sheetViews>
  <sheetFormatPr defaultColWidth="11.19921875" defaultRowHeight="15.6" x14ac:dyDescent="0.3"/>
  <cols>
    <col min="1" max="1" width="10" bestFit="1" customWidth="1"/>
    <col min="2" max="2" width="32.3984375" style="5" bestFit="1" customWidth="1"/>
    <col min="3" max="3" width="14.69921875" style="5" bestFit="1" customWidth="1"/>
    <col min="4" max="4" width="27.8984375" style="5" bestFit="1" customWidth="1"/>
    <col min="5" max="5" width="25.59765625" style="5" bestFit="1" customWidth="1"/>
    <col min="6" max="6" width="15.59765625" style="5" bestFit="1" customWidth="1"/>
    <col min="7" max="7" width="18.8984375" style="5" bestFit="1" customWidth="1"/>
    <col min="8" max="8" width="19.8984375" bestFit="1" customWidth="1"/>
  </cols>
  <sheetData>
    <row r="1" spans="1:8" x14ac:dyDescent="0.3">
      <c r="A1" s="1" t="s">
        <v>1</v>
      </c>
      <c r="B1" s="4" t="s">
        <v>2</v>
      </c>
      <c r="C1" s="5" t="s">
        <v>0</v>
      </c>
      <c r="D1" s="5" t="s">
        <v>3</v>
      </c>
      <c r="E1" s="5" t="s">
        <v>4</v>
      </c>
      <c r="F1" s="6" t="s">
        <v>7</v>
      </c>
      <c r="G1" s="7" t="s">
        <v>8</v>
      </c>
      <c r="H1" s="3" t="s">
        <v>9</v>
      </c>
    </row>
    <row r="2" spans="1:8" x14ac:dyDescent="0.3">
      <c r="A2" t="s">
        <v>48</v>
      </c>
      <c r="B2" s="8" t="s">
        <v>45</v>
      </c>
      <c r="C2" s="5" t="s">
        <v>24</v>
      </c>
      <c r="D2" s="9">
        <f>0.95/3</f>
        <v>0.31666666666666665</v>
      </c>
      <c r="E2" s="5" t="s">
        <v>25</v>
      </c>
      <c r="F2" s="5">
        <v>0.27</v>
      </c>
      <c r="G2" s="5">
        <v>0</v>
      </c>
    </row>
    <row r="3" spans="1:8" x14ac:dyDescent="0.3">
      <c r="A3" t="s">
        <v>48</v>
      </c>
      <c r="B3" s="8" t="s">
        <v>46</v>
      </c>
      <c r="C3" s="5" t="s">
        <v>24</v>
      </c>
      <c r="D3" s="5">
        <v>0.25</v>
      </c>
      <c r="E3" s="5" t="s">
        <v>25</v>
      </c>
      <c r="F3" s="5">
        <v>0</v>
      </c>
      <c r="G3" s="5">
        <v>0</v>
      </c>
    </row>
    <row r="4" spans="1:8" x14ac:dyDescent="0.3">
      <c r="A4" t="s">
        <v>48</v>
      </c>
      <c r="B4" s="8" t="s">
        <v>47</v>
      </c>
      <c r="C4" s="5" t="s">
        <v>24</v>
      </c>
      <c r="D4" s="5">
        <v>0.25</v>
      </c>
      <c r="E4" s="5" t="s">
        <v>25</v>
      </c>
      <c r="F4" s="5">
        <v>0.15</v>
      </c>
      <c r="G4" s="5">
        <v>0</v>
      </c>
    </row>
    <row r="5" spans="1:8" x14ac:dyDescent="0.3">
      <c r="A5" t="s">
        <v>10</v>
      </c>
      <c r="B5" s="10" t="s">
        <v>23</v>
      </c>
      <c r="C5" s="5" t="s">
        <v>24</v>
      </c>
      <c r="D5" s="5">
        <v>0.15</v>
      </c>
      <c r="E5" s="5" t="s">
        <v>25</v>
      </c>
      <c r="F5" s="5">
        <v>0</v>
      </c>
      <c r="G5" s="5">
        <v>0</v>
      </c>
    </row>
    <row r="6" spans="1:8" x14ac:dyDescent="0.3">
      <c r="A6" t="s">
        <v>11</v>
      </c>
      <c r="B6" s="10" t="s">
        <v>26</v>
      </c>
      <c r="C6" s="5" t="s">
        <v>24</v>
      </c>
      <c r="D6" s="5">
        <v>0.1</v>
      </c>
      <c r="E6" s="5" t="s">
        <v>25</v>
      </c>
      <c r="F6" s="5">
        <v>0.25</v>
      </c>
      <c r="G6" s="5">
        <v>0</v>
      </c>
    </row>
    <row r="7" spans="1:8" x14ac:dyDescent="0.3">
      <c r="A7" t="s">
        <v>12</v>
      </c>
      <c r="B7" s="10" t="s">
        <v>23</v>
      </c>
      <c r="C7" s="5" t="s">
        <v>24</v>
      </c>
      <c r="D7" s="5">
        <v>0.5</v>
      </c>
      <c r="E7" s="5" t="s">
        <v>25</v>
      </c>
      <c r="F7" s="5">
        <v>0</v>
      </c>
      <c r="G7" s="5">
        <v>0</v>
      </c>
    </row>
    <row r="8" spans="1:8" x14ac:dyDescent="0.3">
      <c r="A8" t="s">
        <v>12</v>
      </c>
      <c r="B8" s="10" t="s">
        <v>27</v>
      </c>
      <c r="C8" s="5" t="s">
        <v>24</v>
      </c>
      <c r="D8" s="5">
        <v>1</v>
      </c>
      <c r="E8" s="5" t="s">
        <v>25</v>
      </c>
      <c r="F8" s="5">
        <v>0</v>
      </c>
      <c r="G8" s="5">
        <v>0</v>
      </c>
    </row>
    <row r="9" spans="1:8" x14ac:dyDescent="0.3">
      <c r="A9" t="s">
        <v>13</v>
      </c>
      <c r="B9" s="10" t="s">
        <v>28</v>
      </c>
      <c r="C9" s="5" t="s">
        <v>24</v>
      </c>
      <c r="D9" s="5">
        <v>0.08</v>
      </c>
      <c r="E9" s="5" t="s">
        <v>25</v>
      </c>
      <c r="F9" s="5">
        <v>0.32</v>
      </c>
      <c r="G9" s="5">
        <v>0</v>
      </c>
    </row>
    <row r="10" spans="1:8" x14ac:dyDescent="0.3">
      <c r="A10" t="s">
        <v>13</v>
      </c>
      <c r="B10" s="10" t="s">
        <v>75</v>
      </c>
      <c r="C10" s="5" t="s">
        <v>24</v>
      </c>
      <c r="D10" s="5">
        <v>0.15</v>
      </c>
      <c r="E10" s="5" t="s">
        <v>25</v>
      </c>
      <c r="F10" s="5">
        <v>0.18</v>
      </c>
      <c r="G10" s="5">
        <v>0</v>
      </c>
    </row>
    <row r="11" spans="1:8" x14ac:dyDescent="0.3">
      <c r="A11" t="s">
        <v>14</v>
      </c>
      <c r="B11" s="11" t="s">
        <v>29</v>
      </c>
      <c r="C11" s="5" t="s">
        <v>24</v>
      </c>
      <c r="D11" s="5">
        <v>0.46500000000000002</v>
      </c>
      <c r="E11" s="5" t="s">
        <v>25</v>
      </c>
      <c r="F11" s="5">
        <v>0.06</v>
      </c>
      <c r="G11" s="5">
        <v>0</v>
      </c>
    </row>
    <row r="12" spans="1:8" x14ac:dyDescent="0.3">
      <c r="A12" t="s">
        <v>14</v>
      </c>
      <c r="B12" s="11" t="s">
        <v>30</v>
      </c>
      <c r="C12" s="5" t="s">
        <v>24</v>
      </c>
      <c r="D12" s="5">
        <v>0.13600000000000001</v>
      </c>
      <c r="E12" s="5" t="s">
        <v>25</v>
      </c>
      <c r="F12" s="5">
        <v>0.15</v>
      </c>
      <c r="G12" s="5">
        <v>0</v>
      </c>
    </row>
    <row r="13" spans="1:8" x14ac:dyDescent="0.3">
      <c r="A13" t="s">
        <v>14</v>
      </c>
      <c r="B13" s="11" t="s">
        <v>28</v>
      </c>
      <c r="C13" s="5" t="s">
        <v>24</v>
      </c>
      <c r="D13" s="5">
        <v>0.63</v>
      </c>
      <c r="E13" s="5" t="s">
        <v>25</v>
      </c>
      <c r="F13" s="5">
        <v>0.32</v>
      </c>
      <c r="G13" s="5">
        <v>0</v>
      </c>
    </row>
    <row r="14" spans="1:8" x14ac:dyDescent="0.3">
      <c r="A14" t="s">
        <v>15</v>
      </c>
      <c r="B14" s="11" t="s">
        <v>31</v>
      </c>
      <c r="C14" s="5" t="s">
        <v>24</v>
      </c>
      <c r="D14" s="5">
        <f>0.12+0.137</f>
        <v>0.25700000000000001</v>
      </c>
      <c r="E14" s="5" t="s">
        <v>25</v>
      </c>
      <c r="F14" s="5">
        <v>0</v>
      </c>
      <c r="G14" s="5">
        <v>0</v>
      </c>
    </row>
    <row r="15" spans="1:8" x14ac:dyDescent="0.3">
      <c r="A15" t="s">
        <v>16</v>
      </c>
      <c r="B15" s="11" t="s">
        <v>32</v>
      </c>
      <c r="C15" s="5" t="s">
        <v>24</v>
      </c>
      <c r="D15" s="5">
        <v>0.1</v>
      </c>
      <c r="E15" s="5" t="s">
        <v>25</v>
      </c>
      <c r="F15" s="5">
        <v>0.27</v>
      </c>
      <c r="G15" s="5">
        <v>0</v>
      </c>
    </row>
    <row r="16" spans="1:8" x14ac:dyDescent="0.3">
      <c r="A16" t="s">
        <v>17</v>
      </c>
      <c r="B16" s="11" t="s">
        <v>35</v>
      </c>
      <c r="C16" s="5" t="s">
        <v>24</v>
      </c>
      <c r="D16" s="5">
        <v>0.25</v>
      </c>
      <c r="E16" s="5" t="s">
        <v>25</v>
      </c>
      <c r="F16" s="5">
        <v>0.16</v>
      </c>
      <c r="G16" s="5">
        <v>0</v>
      </c>
    </row>
    <row r="17" spans="1:7" x14ac:dyDescent="0.3">
      <c r="A17" t="s">
        <v>17</v>
      </c>
      <c r="B17" s="11" t="s">
        <v>36</v>
      </c>
      <c r="C17" s="5" t="s">
        <v>24</v>
      </c>
      <c r="D17" s="5">
        <v>0.1</v>
      </c>
      <c r="E17" s="5" t="s">
        <v>25</v>
      </c>
      <c r="F17" s="5">
        <v>0.24</v>
      </c>
      <c r="G17" s="5">
        <v>0</v>
      </c>
    </row>
    <row r="18" spans="1:7" x14ac:dyDescent="0.3">
      <c r="A18" t="s">
        <v>17</v>
      </c>
      <c r="B18" s="11" t="s">
        <v>34</v>
      </c>
      <c r="C18" s="5" t="s">
        <v>24</v>
      </c>
      <c r="D18" s="5">
        <v>0.1</v>
      </c>
      <c r="E18" s="5" t="s">
        <v>25</v>
      </c>
      <c r="F18" s="5">
        <v>0</v>
      </c>
      <c r="G18" s="5">
        <v>0</v>
      </c>
    </row>
    <row r="19" spans="1:7" x14ac:dyDescent="0.3">
      <c r="A19" t="s">
        <v>17</v>
      </c>
      <c r="B19" s="11" t="s">
        <v>33</v>
      </c>
      <c r="C19" s="5" t="s">
        <v>38</v>
      </c>
      <c r="D19" s="5">
        <v>2</v>
      </c>
      <c r="E19" s="5" t="s">
        <v>25</v>
      </c>
      <c r="F19" s="5">
        <v>5.3999999999999999E-2</v>
      </c>
      <c r="G19" s="5">
        <v>1</v>
      </c>
    </row>
    <row r="20" spans="1:7" x14ac:dyDescent="0.3">
      <c r="A20" t="s">
        <v>18</v>
      </c>
      <c r="B20" s="11" t="s">
        <v>34</v>
      </c>
      <c r="C20" s="5" t="s">
        <v>24</v>
      </c>
      <c r="D20" s="5">
        <v>0.1</v>
      </c>
      <c r="E20" s="5" t="s">
        <v>25</v>
      </c>
      <c r="F20" s="5">
        <v>0</v>
      </c>
      <c r="G20" s="5">
        <v>0</v>
      </c>
    </row>
    <row r="21" spans="1:7" x14ac:dyDescent="0.3">
      <c r="A21" t="s">
        <v>18</v>
      </c>
      <c r="B21" s="11" t="s">
        <v>33</v>
      </c>
      <c r="C21" s="5" t="s">
        <v>38</v>
      </c>
      <c r="D21" s="5">
        <v>2</v>
      </c>
      <c r="E21" s="5" t="s">
        <v>25</v>
      </c>
      <c r="F21" s="5">
        <v>5.3999999999999999E-2</v>
      </c>
      <c r="G21" s="5">
        <v>1</v>
      </c>
    </row>
    <row r="22" spans="1:7" x14ac:dyDescent="0.3">
      <c r="A22" t="s">
        <v>19</v>
      </c>
      <c r="B22" s="10" t="s">
        <v>23</v>
      </c>
      <c r="C22" s="5" t="s">
        <v>24</v>
      </c>
      <c r="D22" s="5">
        <f>0.09</f>
        <v>0.09</v>
      </c>
      <c r="E22" s="5" t="s">
        <v>25</v>
      </c>
      <c r="F22" s="5">
        <v>0</v>
      </c>
      <c r="G22" s="5">
        <v>0</v>
      </c>
    </row>
    <row r="23" spans="1:7" x14ac:dyDescent="0.3">
      <c r="A23" t="s">
        <v>19</v>
      </c>
      <c r="B23" s="10" t="s">
        <v>32</v>
      </c>
      <c r="C23" s="5" t="s">
        <v>24</v>
      </c>
      <c r="D23" s="5">
        <f>0.04</f>
        <v>0.04</v>
      </c>
      <c r="E23" s="5" t="s">
        <v>25</v>
      </c>
      <c r="F23" s="5">
        <v>0.27</v>
      </c>
      <c r="G23" s="5">
        <v>0</v>
      </c>
    </row>
    <row r="24" spans="1:7" x14ac:dyDescent="0.3">
      <c r="A24" t="s">
        <v>20</v>
      </c>
      <c r="B24" s="10" t="s">
        <v>23</v>
      </c>
      <c r="C24" s="5" t="s">
        <v>24</v>
      </c>
      <c r="D24" s="5">
        <v>0.15</v>
      </c>
      <c r="E24" s="5" t="s">
        <v>25</v>
      </c>
      <c r="F24" s="5">
        <v>0</v>
      </c>
      <c r="G24" s="5">
        <v>0</v>
      </c>
    </row>
    <row r="25" spans="1:7" x14ac:dyDescent="0.3">
      <c r="A25" t="s">
        <v>21</v>
      </c>
      <c r="B25" s="10" t="s">
        <v>37</v>
      </c>
      <c r="C25" s="5" t="s">
        <v>38</v>
      </c>
      <c r="D25" s="5" t="s">
        <v>25</v>
      </c>
      <c r="E25" s="5">
        <v>0.4</v>
      </c>
      <c r="F25" s="5">
        <v>0.08</v>
      </c>
      <c r="G25" s="5">
        <v>0</v>
      </c>
    </row>
    <row r="26" spans="1:7" x14ac:dyDescent="0.3">
      <c r="A26" t="s">
        <v>22</v>
      </c>
      <c r="B26" s="10" t="s">
        <v>39</v>
      </c>
      <c r="C26" s="5" t="s">
        <v>24</v>
      </c>
      <c r="D26" s="10">
        <f>0.2</f>
        <v>0.2</v>
      </c>
      <c r="E26" s="5" t="s">
        <v>25</v>
      </c>
      <c r="F26" s="5">
        <v>0</v>
      </c>
      <c r="G26" s="5">
        <v>0</v>
      </c>
    </row>
    <row r="27" spans="1:7" x14ac:dyDescent="0.3">
      <c r="A27" t="s">
        <v>22</v>
      </c>
      <c r="B27" s="10" t="s">
        <v>40</v>
      </c>
      <c r="C27" s="5" t="s">
        <v>24</v>
      </c>
      <c r="D27" s="10">
        <f>0.15</f>
        <v>0.15</v>
      </c>
      <c r="E27" s="5" t="s">
        <v>25</v>
      </c>
      <c r="F27" s="5">
        <v>0</v>
      </c>
      <c r="G27" s="5">
        <v>0</v>
      </c>
    </row>
    <row r="28" spans="1:7" x14ac:dyDescent="0.3">
      <c r="A28" t="s">
        <v>22</v>
      </c>
      <c r="B28" s="10" t="s">
        <v>33</v>
      </c>
      <c r="C28" s="5" t="s">
        <v>38</v>
      </c>
      <c r="D28" s="10">
        <f>8</f>
        <v>8</v>
      </c>
      <c r="E28" s="5" t="s">
        <v>25</v>
      </c>
      <c r="F28" s="5">
        <v>5.3999999999999999E-2</v>
      </c>
      <c r="G28" s="5">
        <v>1</v>
      </c>
    </row>
    <row r="29" spans="1:7" x14ac:dyDescent="0.3">
      <c r="A29" t="s">
        <v>64</v>
      </c>
      <c r="B29" s="10" t="s">
        <v>75</v>
      </c>
      <c r="C29" s="5" t="s">
        <v>24</v>
      </c>
      <c r="D29" s="5">
        <v>0.15</v>
      </c>
      <c r="E29" s="5" t="s">
        <v>25</v>
      </c>
      <c r="F29" s="5">
        <v>0.18</v>
      </c>
      <c r="G29" s="5">
        <v>0</v>
      </c>
    </row>
    <row r="30" spans="1:7" x14ac:dyDescent="0.3">
      <c r="A30" t="s">
        <v>64</v>
      </c>
      <c r="B30" s="10" t="s">
        <v>53</v>
      </c>
      <c r="C30" s="5" t="s">
        <v>24</v>
      </c>
      <c r="D30" s="12">
        <f>0.15</f>
        <v>0.15</v>
      </c>
      <c r="E30" s="5" t="s">
        <v>25</v>
      </c>
      <c r="F30" s="5">
        <v>0.45</v>
      </c>
      <c r="G30" s="5">
        <v>0</v>
      </c>
    </row>
    <row r="31" spans="1:7" x14ac:dyDescent="0.3">
      <c r="A31" t="s">
        <v>42</v>
      </c>
      <c r="B31" s="10" t="s">
        <v>41</v>
      </c>
      <c r="C31" s="5" t="s">
        <v>24</v>
      </c>
      <c r="D31" s="5">
        <v>0.3</v>
      </c>
      <c r="E31" s="5" t="s">
        <v>25</v>
      </c>
      <c r="F31" s="5">
        <v>0.08</v>
      </c>
      <c r="G31" s="5">
        <v>0</v>
      </c>
    </row>
    <row r="32" spans="1:7" x14ac:dyDescent="0.3">
      <c r="A32" t="s">
        <v>49</v>
      </c>
      <c r="B32" s="10" t="s">
        <v>50</v>
      </c>
      <c r="C32" s="5" t="s">
        <v>24</v>
      </c>
      <c r="D32" s="5">
        <v>0.3</v>
      </c>
      <c r="E32" s="5" t="s">
        <v>25</v>
      </c>
      <c r="F32" s="5">
        <v>0.27</v>
      </c>
      <c r="G32" s="5">
        <v>0</v>
      </c>
    </row>
    <row r="33" spans="1:7" x14ac:dyDescent="0.3">
      <c r="A33" t="s">
        <v>49</v>
      </c>
      <c r="B33" s="10" t="s">
        <v>51</v>
      </c>
      <c r="C33" s="5" t="s">
        <v>24</v>
      </c>
      <c r="D33" s="5">
        <v>0.06</v>
      </c>
      <c r="E33" s="5" t="s">
        <v>25</v>
      </c>
      <c r="F33" s="5">
        <v>1</v>
      </c>
      <c r="G33" s="5">
        <v>0</v>
      </c>
    </row>
    <row r="34" spans="1:7" x14ac:dyDescent="0.3">
      <c r="A34" t="s">
        <v>49</v>
      </c>
      <c r="B34" s="10" t="s">
        <v>52</v>
      </c>
      <c r="C34" s="5" t="s">
        <v>24</v>
      </c>
      <c r="D34" s="5">
        <v>0.31</v>
      </c>
      <c r="E34" s="5" t="s">
        <v>25</v>
      </c>
      <c r="F34" s="5">
        <v>1</v>
      </c>
      <c r="G34" s="5">
        <v>0</v>
      </c>
    </row>
    <row r="35" spans="1:7" x14ac:dyDescent="0.3">
      <c r="A35" t="s">
        <v>49</v>
      </c>
      <c r="B35" s="10" t="s">
        <v>55</v>
      </c>
      <c r="C35" s="5" t="s">
        <v>24</v>
      </c>
      <c r="D35" s="5">
        <v>0.2</v>
      </c>
      <c r="E35" s="5" t="s">
        <v>25</v>
      </c>
      <c r="F35" s="5">
        <v>0</v>
      </c>
      <c r="G35" s="5">
        <v>0</v>
      </c>
    </row>
    <row r="36" spans="1:7" x14ac:dyDescent="0.3">
      <c r="A36" t="s">
        <v>49</v>
      </c>
      <c r="B36" s="10" t="s">
        <v>63</v>
      </c>
      <c r="C36" s="5" t="s">
        <v>24</v>
      </c>
      <c r="D36" s="5">
        <v>0.2</v>
      </c>
      <c r="E36" s="5" t="s">
        <v>25</v>
      </c>
      <c r="F36" s="5">
        <v>0</v>
      </c>
      <c r="G36" s="5">
        <v>0</v>
      </c>
    </row>
    <row r="37" spans="1:7" x14ac:dyDescent="0.3">
      <c r="A37" t="s">
        <v>44</v>
      </c>
      <c r="B37" s="10" t="s">
        <v>43</v>
      </c>
      <c r="C37" s="5" t="s">
        <v>24</v>
      </c>
      <c r="D37" s="5">
        <v>0.15</v>
      </c>
      <c r="E37" s="5" t="s">
        <v>25</v>
      </c>
      <c r="F37" s="5">
        <v>0.05</v>
      </c>
      <c r="G37" s="5">
        <v>0</v>
      </c>
    </row>
    <row r="38" spans="1:7" x14ac:dyDescent="0.3">
      <c r="A38" t="s">
        <v>44</v>
      </c>
      <c r="B38" s="10" t="s">
        <v>32</v>
      </c>
      <c r="C38" s="5" t="s">
        <v>24</v>
      </c>
      <c r="D38" s="5">
        <v>0.25</v>
      </c>
      <c r="E38" s="5" t="s">
        <v>25</v>
      </c>
      <c r="F38" s="5">
        <v>0.27</v>
      </c>
      <c r="G38" s="5">
        <v>0</v>
      </c>
    </row>
    <row r="39" spans="1:7" x14ac:dyDescent="0.3">
      <c r="A39" s="14" t="s">
        <v>54</v>
      </c>
      <c r="B39" s="10" t="s">
        <v>55</v>
      </c>
      <c r="C39" s="5" t="s">
        <v>24</v>
      </c>
      <c r="D39" s="10">
        <v>0.15</v>
      </c>
      <c r="E39" s="5" t="s">
        <v>25</v>
      </c>
      <c r="F39" s="10">
        <v>0</v>
      </c>
      <c r="G39" s="8">
        <v>0</v>
      </c>
    </row>
    <row r="40" spans="1:7" x14ac:dyDescent="0.3">
      <c r="A40" s="14" t="s">
        <v>54</v>
      </c>
      <c r="B40" s="10" t="s">
        <v>56</v>
      </c>
      <c r="C40" s="5" t="s">
        <v>24</v>
      </c>
      <c r="D40" s="10">
        <v>0.15</v>
      </c>
      <c r="E40" s="5" t="s">
        <v>25</v>
      </c>
      <c r="F40" s="8">
        <v>7.0000000000000007E-2</v>
      </c>
      <c r="G40" s="5">
        <v>0</v>
      </c>
    </row>
    <row r="41" spans="1:7" x14ac:dyDescent="0.3">
      <c r="A41" s="10" t="s">
        <v>57</v>
      </c>
      <c r="B41" s="10" t="s">
        <v>75</v>
      </c>
      <c r="C41" s="5" t="s">
        <v>24</v>
      </c>
      <c r="D41" s="5">
        <v>0.15</v>
      </c>
      <c r="E41" s="5" t="s">
        <v>25</v>
      </c>
      <c r="F41" s="5">
        <v>0.18</v>
      </c>
      <c r="G41" s="8">
        <v>0</v>
      </c>
    </row>
    <row r="42" spans="1:7" x14ac:dyDescent="0.3">
      <c r="A42" s="10" t="s">
        <v>57</v>
      </c>
      <c r="B42" s="13" t="s">
        <v>28</v>
      </c>
      <c r="C42" s="5" t="s">
        <v>24</v>
      </c>
      <c r="D42" s="10">
        <v>0.15</v>
      </c>
      <c r="E42" s="5" t="s">
        <v>25</v>
      </c>
      <c r="F42" s="10">
        <v>0.32</v>
      </c>
      <c r="G42" s="8">
        <v>0</v>
      </c>
    </row>
    <row r="43" spans="1:7" x14ac:dyDescent="0.3">
      <c r="A43" s="10" t="s">
        <v>58</v>
      </c>
      <c r="B43" s="10" t="s">
        <v>59</v>
      </c>
      <c r="C43" s="10" t="s">
        <v>38</v>
      </c>
      <c r="D43" s="8">
        <v>0.2</v>
      </c>
      <c r="E43" s="5" t="s">
        <v>25</v>
      </c>
      <c r="F43" s="8">
        <v>0</v>
      </c>
      <c r="G43" s="5">
        <v>0</v>
      </c>
    </row>
    <row r="44" spans="1:7" x14ac:dyDescent="0.3">
      <c r="A44" s="10" t="s">
        <v>58</v>
      </c>
      <c r="B44" s="10" t="s">
        <v>53</v>
      </c>
      <c r="C44" s="10" t="s">
        <v>38</v>
      </c>
      <c r="D44" s="8">
        <v>0.1</v>
      </c>
      <c r="E44" s="5" t="s">
        <v>25</v>
      </c>
      <c r="F44" s="5">
        <v>0.45</v>
      </c>
      <c r="G44" s="5">
        <v>0</v>
      </c>
    </row>
    <row r="45" spans="1:7" x14ac:dyDescent="0.3">
      <c r="A45" s="10" t="s">
        <v>58</v>
      </c>
      <c r="B45" s="10" t="s">
        <v>60</v>
      </c>
      <c r="C45" s="10" t="s">
        <v>24</v>
      </c>
      <c r="D45" s="8">
        <v>0.35</v>
      </c>
      <c r="E45" s="5" t="s">
        <v>25</v>
      </c>
      <c r="F45" s="8">
        <v>0</v>
      </c>
      <c r="G45" s="5">
        <v>0</v>
      </c>
    </row>
    <row r="46" spans="1:7" x14ac:dyDescent="0.3">
      <c r="A46" s="10" t="s">
        <v>58</v>
      </c>
      <c r="B46" s="10" t="s">
        <v>61</v>
      </c>
      <c r="C46" s="10" t="s">
        <v>24</v>
      </c>
      <c r="D46" s="8">
        <v>0.15</v>
      </c>
      <c r="E46" s="5" t="s">
        <v>25</v>
      </c>
      <c r="F46" s="8">
        <v>0.15</v>
      </c>
      <c r="G46" s="5">
        <v>0</v>
      </c>
    </row>
    <row r="47" spans="1:7" x14ac:dyDescent="0.3">
      <c r="A47" s="10" t="s">
        <v>58</v>
      </c>
      <c r="B47" s="10" t="s">
        <v>28</v>
      </c>
      <c r="C47" s="10" t="s">
        <v>24</v>
      </c>
      <c r="D47" s="8">
        <v>0.7</v>
      </c>
      <c r="E47" s="5" t="s">
        <v>25</v>
      </c>
      <c r="F47" s="8">
        <v>0.32</v>
      </c>
      <c r="G47" s="5">
        <v>0</v>
      </c>
    </row>
    <row r="48" spans="1:7" x14ac:dyDescent="0.3">
      <c r="A48" s="10" t="s">
        <v>58</v>
      </c>
      <c r="B48" s="10" t="s">
        <v>62</v>
      </c>
      <c r="C48" s="10" t="s">
        <v>38</v>
      </c>
      <c r="D48" s="8">
        <v>120</v>
      </c>
      <c r="E48" s="5" t="s">
        <v>25</v>
      </c>
      <c r="F48" s="5">
        <v>0.03</v>
      </c>
      <c r="G48" s="5">
        <v>0</v>
      </c>
    </row>
    <row r="49" spans="1:7" x14ac:dyDescent="0.3">
      <c r="A49" s="8" t="s">
        <v>66</v>
      </c>
      <c r="B49" s="10" t="s">
        <v>55</v>
      </c>
      <c r="C49" s="5" t="s">
        <v>24</v>
      </c>
      <c r="D49" s="5">
        <v>1.6E-2</v>
      </c>
      <c r="E49" s="5" t="s">
        <v>25</v>
      </c>
      <c r="F49" s="5">
        <v>0</v>
      </c>
      <c r="G49" s="5">
        <v>0</v>
      </c>
    </row>
    <row r="50" spans="1:7" x14ac:dyDescent="0.3">
      <c r="A50" s="8" t="s">
        <v>66</v>
      </c>
      <c r="B50" s="10" t="s">
        <v>67</v>
      </c>
      <c r="C50" s="5" t="s">
        <v>24</v>
      </c>
      <c r="D50" s="5">
        <v>0.1</v>
      </c>
      <c r="E50" s="5" t="s">
        <v>25</v>
      </c>
      <c r="F50" s="5">
        <v>0.2</v>
      </c>
      <c r="G50" s="5">
        <v>0</v>
      </c>
    </row>
    <row r="51" spans="1:7" x14ac:dyDescent="0.3">
      <c r="A51" s="8" t="s">
        <v>66</v>
      </c>
      <c r="B51" s="10" t="s">
        <v>23</v>
      </c>
      <c r="C51" s="5" t="s">
        <v>24</v>
      </c>
      <c r="D51" s="5">
        <v>0.6</v>
      </c>
      <c r="E51" s="5" t="s">
        <v>25</v>
      </c>
      <c r="F51" s="5">
        <v>0</v>
      </c>
      <c r="G51" s="5">
        <v>0</v>
      </c>
    </row>
    <row r="52" spans="1:7" x14ac:dyDescent="0.3">
      <c r="A52" s="5" t="s">
        <v>65</v>
      </c>
      <c r="B52" s="10" t="s">
        <v>32</v>
      </c>
      <c r="C52" s="5" t="s">
        <v>24</v>
      </c>
      <c r="D52" s="5">
        <v>0.01</v>
      </c>
      <c r="E52" s="5" t="s">
        <v>25</v>
      </c>
      <c r="F52" s="5">
        <v>0.27</v>
      </c>
      <c r="G52" s="5">
        <v>0</v>
      </c>
    </row>
    <row r="53" spans="1:7" x14ac:dyDescent="0.3">
      <c r="A53" s="5" t="s">
        <v>68</v>
      </c>
      <c r="B53" s="5" t="s">
        <v>73</v>
      </c>
      <c r="C53" s="5" t="s">
        <v>24</v>
      </c>
      <c r="D53" s="5">
        <v>0.12</v>
      </c>
      <c r="E53" s="5" t="s">
        <v>25</v>
      </c>
      <c r="F53" s="5">
        <v>0.26</v>
      </c>
      <c r="G53" s="5">
        <v>0</v>
      </c>
    </row>
    <row r="54" spans="1:7" x14ac:dyDescent="0.3">
      <c r="A54" s="5" t="s">
        <v>69</v>
      </c>
      <c r="B54" s="5" t="s">
        <v>43</v>
      </c>
      <c r="C54" s="5" t="s">
        <v>24</v>
      </c>
      <c r="D54" s="5">
        <v>0.12</v>
      </c>
      <c r="E54" s="5" t="s">
        <v>25</v>
      </c>
      <c r="F54" s="5">
        <v>0.05</v>
      </c>
      <c r="G54" s="5">
        <v>0</v>
      </c>
    </row>
    <row r="55" spans="1:7" x14ac:dyDescent="0.3">
      <c r="A55" s="5" t="s">
        <v>69</v>
      </c>
      <c r="B55" s="5" t="s">
        <v>74</v>
      </c>
      <c r="C55" s="5" t="s">
        <v>24</v>
      </c>
      <c r="D55" s="5">
        <v>0.15</v>
      </c>
      <c r="E55" s="5" t="s">
        <v>25</v>
      </c>
      <c r="F55" s="5">
        <v>0.05</v>
      </c>
      <c r="G55" s="5">
        <v>0</v>
      </c>
    </row>
    <row r="56" spans="1:7" x14ac:dyDescent="0.3">
      <c r="A56" s="5" t="s">
        <v>70</v>
      </c>
      <c r="B56" s="5" t="s">
        <v>75</v>
      </c>
      <c r="C56" s="5" t="s">
        <v>24</v>
      </c>
      <c r="D56" s="5">
        <v>0.12</v>
      </c>
      <c r="E56" s="5" t="s">
        <v>25</v>
      </c>
      <c r="F56" s="5">
        <v>0.18</v>
      </c>
      <c r="G56" s="5">
        <v>0</v>
      </c>
    </row>
    <row r="57" spans="1:7" x14ac:dyDescent="0.3">
      <c r="A57" s="5" t="s">
        <v>70</v>
      </c>
      <c r="B57" s="5" t="s">
        <v>53</v>
      </c>
      <c r="C57" s="10" t="s">
        <v>38</v>
      </c>
      <c r="D57" s="5">
        <v>0.1</v>
      </c>
      <c r="E57" s="5" t="s">
        <v>25</v>
      </c>
      <c r="F57" s="5">
        <v>0.45</v>
      </c>
      <c r="G57" s="5">
        <v>0</v>
      </c>
    </row>
    <row r="58" spans="1:7" x14ac:dyDescent="0.3">
      <c r="A58" s="5" t="s">
        <v>71</v>
      </c>
      <c r="B58" s="5" t="s">
        <v>43</v>
      </c>
      <c r="C58" s="5" t="s">
        <v>24</v>
      </c>
      <c r="D58" s="5">
        <v>0.25</v>
      </c>
      <c r="E58" s="5" t="s">
        <v>25</v>
      </c>
      <c r="F58" s="5">
        <v>0.05</v>
      </c>
      <c r="G58" s="5">
        <v>0</v>
      </c>
    </row>
    <row r="59" spans="1:7" x14ac:dyDescent="0.3">
      <c r="A59" s="5" t="s">
        <v>72</v>
      </c>
      <c r="B59" s="5" t="s">
        <v>75</v>
      </c>
      <c r="C59" s="5" t="s">
        <v>24</v>
      </c>
      <c r="D59" s="5">
        <v>0.03</v>
      </c>
      <c r="E59" s="5" t="s">
        <v>25</v>
      </c>
      <c r="F59" s="5">
        <v>0.18</v>
      </c>
      <c r="G59" s="5">
        <v>0</v>
      </c>
    </row>
    <row r="60" spans="1:7" x14ac:dyDescent="0.3">
      <c r="A60" s="5" t="s">
        <v>72</v>
      </c>
      <c r="B60" s="5" t="s">
        <v>23</v>
      </c>
      <c r="C60" s="5" t="s">
        <v>24</v>
      </c>
      <c r="D60" s="5">
        <v>0.2</v>
      </c>
      <c r="E60" s="5" t="s">
        <v>25</v>
      </c>
      <c r="F60" s="5">
        <v>0</v>
      </c>
      <c r="G60" s="5">
        <v>0</v>
      </c>
    </row>
    <row r="61" spans="1:7" x14ac:dyDescent="0.3">
      <c r="A61" s="5" t="s">
        <v>76</v>
      </c>
      <c r="B61" s="10" t="s">
        <v>55</v>
      </c>
      <c r="C61" s="5" t="s">
        <v>24</v>
      </c>
      <c r="D61" s="5">
        <v>0.12</v>
      </c>
      <c r="E61" s="5" t="s">
        <v>25</v>
      </c>
      <c r="F61" s="5">
        <v>0</v>
      </c>
      <c r="G61" s="5">
        <v>0</v>
      </c>
    </row>
    <row r="62" spans="1:7" x14ac:dyDescent="0.3">
      <c r="A62" s="5" t="s">
        <v>77</v>
      </c>
      <c r="B62" s="5" t="s">
        <v>23</v>
      </c>
      <c r="C62" s="5" t="s">
        <v>24</v>
      </c>
      <c r="D62" s="5">
        <v>0.2</v>
      </c>
      <c r="E62" s="5" t="s">
        <v>25</v>
      </c>
      <c r="F62" s="5">
        <v>0</v>
      </c>
      <c r="G62" s="5">
        <v>0</v>
      </c>
    </row>
    <row r="63" spans="1:7" x14ac:dyDescent="0.3">
      <c r="A63" s="5" t="s">
        <v>78</v>
      </c>
      <c r="B63" s="5" t="s">
        <v>55</v>
      </c>
      <c r="C63" s="5" t="s">
        <v>24</v>
      </c>
      <c r="D63" s="5">
        <v>0.03</v>
      </c>
      <c r="E63" s="5" t="s">
        <v>25</v>
      </c>
      <c r="F63" s="5">
        <v>0</v>
      </c>
      <c r="G63" s="5">
        <v>0</v>
      </c>
    </row>
  </sheetData>
  <autoFilter ref="A1:H63" xr:uid="{954C2218-51B7-4CE1-BF3B-6F75EFCA1642}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C17" sqref="C17"/>
    </sheetView>
  </sheetViews>
  <sheetFormatPr defaultColWidth="11.19921875" defaultRowHeight="15.6" x14ac:dyDescent="0.3"/>
  <cols>
    <col min="1" max="1" width="14.19921875" customWidth="1"/>
    <col min="2" max="2" width="18.19921875" customWidth="1"/>
    <col min="3" max="3" width="21.796875" customWidth="1"/>
    <col min="4" max="4" width="35.5" customWidth="1"/>
  </cols>
  <sheetData>
    <row r="1" spans="1:4" x14ac:dyDescent="0.3">
      <c r="A1" s="2" t="s">
        <v>5</v>
      </c>
      <c r="B1" s="2" t="s">
        <v>2</v>
      </c>
      <c r="C1" s="3" t="s">
        <v>0</v>
      </c>
      <c r="D1" s="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Dictionary_Fertilizers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Manuel Santos</cp:lastModifiedBy>
  <dcterms:created xsi:type="dcterms:W3CDTF">2019-05-25T12:19:09Z</dcterms:created>
  <dcterms:modified xsi:type="dcterms:W3CDTF">2020-01-28T14:26:35Z</dcterms:modified>
</cp:coreProperties>
</file>