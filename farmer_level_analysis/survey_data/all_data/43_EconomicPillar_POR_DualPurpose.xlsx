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62b481078b1a2a5c/SELECT/Thesis/Data/Animal_future/AnimalFutureData_Portugal/"/>
    </mc:Choice>
  </mc:AlternateContent>
  <xr:revisionPtr revIDLastSave="7" documentId="13_ncr:1_{FC6AE837-B33C-437A-BB23-F82EF6CA2289}" xr6:coauthVersionLast="45" xr6:coauthVersionMax="45" xr10:uidLastSave="{9858853C-FC5F-450E-8FA1-DF44EB5864F4}"/>
  <bookViews>
    <workbookView xWindow="-110" yWindow="-110" windowWidth="19420" windowHeight="10420" xr2:uid="{00000000-000D-0000-FFFF-FFFF00000000}"/>
  </bookViews>
  <sheets>
    <sheet name="Main" sheetId="2" r:id="rId1"/>
  </sheets>
  <definedNames>
    <definedName name="_xlnm._FilterDatabase" localSheetId="0" hidden="1">Main!$A$1:$AI$36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42" i="2" l="1"/>
  <c r="AD38" i="2"/>
  <c r="AD33" i="2"/>
  <c r="AD29" i="2"/>
</calcChain>
</file>

<file path=xl/sharedStrings.xml><?xml version="1.0" encoding="utf-8"?>
<sst xmlns="http://schemas.openxmlformats.org/spreadsheetml/2006/main" count="79" uniqueCount="79">
  <si>
    <t>own labour force [hours/year]</t>
  </si>
  <si>
    <t>PT00</t>
  </si>
  <si>
    <t>PT01</t>
  </si>
  <si>
    <t>PT02</t>
  </si>
  <si>
    <t>PT03</t>
  </si>
  <si>
    <t>PT04</t>
  </si>
  <si>
    <t>PT05</t>
  </si>
  <si>
    <t>PT06</t>
  </si>
  <si>
    <t>PT07</t>
  </si>
  <si>
    <t>PT08</t>
  </si>
  <si>
    <t>PT09</t>
  </si>
  <si>
    <t>PT10</t>
  </si>
  <si>
    <t>PT11</t>
  </si>
  <si>
    <t>PT12</t>
  </si>
  <si>
    <t>PT13</t>
  </si>
  <si>
    <t>PT14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</si>
  <si>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</si>
  <si>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</si>
  <si>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</si>
  <si>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</si>
  <si>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</si>
  <si>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</si>
  <si>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</si>
  <si>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</si>
  <si>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</si>
  <si>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</si>
  <si>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</si>
  <si>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PT26</t>
  </si>
  <si>
    <t>PT28</t>
  </si>
  <si>
    <t>PT29</t>
  </si>
  <si>
    <t>PT30</t>
  </si>
  <si>
    <t>FARM_ID</t>
  </si>
  <si>
    <t>TotalOutputVegetalCompartment</t>
  </si>
  <si>
    <t>TotalOutputAnimalCompartment</t>
  </si>
  <si>
    <t>TotalOutputForestry</t>
  </si>
  <si>
    <t>OtherOutput</t>
  </si>
  <si>
    <t>InventoryChangesVegetalCompartment</t>
  </si>
  <si>
    <t>InventoryChangesAnimalCompartment</t>
  </si>
  <si>
    <t>TotalSpecificCosts</t>
  </si>
  <si>
    <t>TotalFarmingOverheads</t>
  </si>
  <si>
    <t>Taxes</t>
  </si>
  <si>
    <t>TotalSubsidesOnCrops</t>
  </si>
  <si>
    <t>TotalSubsidesOnLivestock</t>
  </si>
  <si>
    <t>TotalSupportForRuralDevelopment</t>
  </si>
  <si>
    <t>DecoupledPayments</t>
  </si>
  <si>
    <t>Depreciation</t>
  </si>
  <si>
    <t>BalanceSubsidiesAndTaxesOnInvestments</t>
  </si>
  <si>
    <t>WagesPaid</t>
  </si>
  <si>
    <t>RentPaid</t>
  </si>
  <si>
    <t>InterestsPaid</t>
  </si>
  <si>
    <t>TotalAssets</t>
  </si>
  <si>
    <t>TotalAssetsExclLand</t>
  </si>
  <si>
    <t>Liabilities</t>
  </si>
  <si>
    <t>PrivateSpendings</t>
  </si>
  <si>
    <t>OwnLabourForceHours</t>
  </si>
  <si>
    <t>HiredLabourForceHours</t>
  </si>
  <si>
    <t>HiredLabourForcePersons</t>
  </si>
  <si>
    <t>ImputedLabourCosts</t>
  </si>
  <si>
    <t>RentedFarmLand</t>
  </si>
  <si>
    <t>RentalForFarmLand</t>
  </si>
  <si>
    <t>OwnFarmLand</t>
  </si>
  <si>
    <t>ImputedLandCostForOwnFarmLand</t>
  </si>
  <si>
    <t>InterestRate</t>
  </si>
  <si>
    <t>TotalSubsidies</t>
  </si>
  <si>
    <t>PT31</t>
  </si>
  <si>
    <t>PT32</t>
  </si>
  <si>
    <t>PT34</t>
  </si>
  <si>
    <t>PT35</t>
  </si>
  <si>
    <t>Total hours</t>
  </si>
  <si>
    <t>Profit</t>
  </si>
  <si>
    <t>PT36</t>
  </si>
  <si>
    <t>PT37</t>
  </si>
  <si>
    <t>PT38</t>
  </si>
  <si>
    <t>PT39</t>
  </si>
  <si>
    <t>PT40</t>
  </si>
  <si>
    <t>PT41</t>
  </si>
  <si>
    <t>PT42</t>
  </si>
  <si>
    <t>PT43</t>
  </si>
  <si>
    <t>PT33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</si>
</sst>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5">
    <xf numFmtId="0" fontId="0" fillId="0" borderId="0" xfId="0"/>
    <xf numFmtId="1" fontId="3" fillId="0" borderId="0" xfId="1" applyNumberFormat="1" applyFont="1" applyFill="1" applyBorder="1" applyAlignment="1"/>
    <xf numFmtId="1" fontId="3" fillId="2" borderId="0" xfId="1" applyNumberFormat="1" applyFont="1" applyFill="1" applyBorder="1" applyAlignment="1"/>
    <xf numFmtId="1" fontId="0" fillId="0" borderId="0" xfId="0" applyNumberFormat="1"/>
    <xf numFmtId="9" fontId="3" fillId="0" borderId="0" xfId="8" applyFont="1" applyFill="1" applyBorder="1" applyAlignment="1"/>
  </cellXfs>
  <cellStyles count="9">
    <cellStyle name="Currency 2" xfId="7" xr:uid="{D0242861-6D54-4095-9DE6-9063729E63CF}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Normal 2" xfId="6" xr:uid="{B1A9EF14-4775-4510-8441-2A13752683A4}"/>
    <cellStyle name="Percent" xfId="8" builtinId="5"/>
    <cellStyle name="Standard 2" xfId="1" xr:uid="{00000000-0005-0000-0000-000005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4"/>
  <sheetViews>
    <sheetView tabSelected="1" workbookViewId="0">
      <pane xSplit="1" topLeftCell="X1" activePane="topRight" state="frozen"/>
      <selection pane="topRight" activeCell="Z1" sqref="Z1"/>
    </sheetView>
  </sheetViews>
  <sheetFormatPr defaultColWidth="8.83203125" defaultRowHeight="15.5" x14ac:dyDescent="0.35"/>
  <cols>
    <col min="1" max="1" width="24.6640625" style="1" customWidth="1"/>
    <col min="2" max="3" width="8.83203125" style="1" customWidth="1"/>
    <col min="4" max="4" width="10.33203125" style="1" bestFit="1" customWidth="1"/>
    <col min="5" max="5" width="8.33203125" style="1" customWidth="1"/>
    <col min="6" max="10" width="8.83203125" style="1" customWidth="1"/>
    <col min="11" max="11" width="21.9140625" style="1" bestFit="1" customWidth="1"/>
    <col min="12" max="12" width="24.6640625" style="1" bestFit="1" customWidth="1"/>
    <col min="13" max="13" width="32.6640625" style="1" bestFit="1" customWidth="1"/>
    <col min="14" max="14" width="20.08203125" style="1" bestFit="1" customWidth="1"/>
    <col min="15" max="28" width="8.83203125" style="1" customWidth="1"/>
    <col min="29" max="29" width="11.5" style="1" customWidth="1"/>
    <col min="30" max="30" width="8.83203125" style="1"/>
    <col min="31" max="31" width="12.08203125" style="1" customWidth="1"/>
    <col min="32" max="34" width="8.83203125" style="1"/>
    <col min="35" max="35" width="15.08203125" style="1" bestFit="1" customWidth="1"/>
    <col min="36" max="16384" width="8.83203125" style="1"/>
  </cols>
  <sheetData>
    <row r="1" spans="1:36" x14ac:dyDescent="0.35">
      <c r="A1" s="2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0</v>
      </c>
      <c r="Z1" s="1" t="s">
        <v>56</v>
      </c>
      <c r="AA1" s="1" t="s">
        <v>55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69</v>
      </c>
      <c r="AI1" s="1" t="s">
        <v>63</v>
      </c>
      <c r="AJ1" s="1" t="s">
        <v>68</v>
      </c>
    </row>
    <row r="2" spans="1:36" x14ac:dyDescent="0.35">
      <c r="A2" s="1" t="s">
        <v>1</v>
      </c>
      <c r="B2" s="1">
        <v>10124</v>
      </c>
      <c r="C2" s="1">
        <v>118804</v>
      </c>
      <c r="D2" s="1">
        <v>0</v>
      </c>
      <c r="E2" s="1">
        <v>0</v>
      </c>
      <c r="H2" s="1">
        <v>71277.099154782001</v>
      </c>
      <c r="I2" s="1">
        <v>45896</v>
      </c>
      <c r="J2" s="1">
        <v>1899</v>
      </c>
      <c r="K2" s="1">
        <v>14200</v>
      </c>
      <c r="L2" s="1">
        <v>22900</v>
      </c>
      <c r="M2" s="3">
        <v>36000</v>
      </c>
      <c r="N2" s="1">
        <v>25200</v>
      </c>
      <c r="Q2" s="1">
        <v>82547</v>
      </c>
      <c r="R2" s="1">
        <v>5000</v>
      </c>
      <c r="S2" s="1">
        <v>0</v>
      </c>
      <c r="T2" s="1">
        <v>514685</v>
      </c>
      <c r="U2" s="4"/>
      <c r="X2" s="1">
        <v>0</v>
      </c>
      <c r="Y2" s="1">
        <v>0</v>
      </c>
      <c r="Z2" s="1">
        <v>5</v>
      </c>
      <c r="AA2" s="1">
        <v>10400</v>
      </c>
      <c r="AB2" s="1">
        <v>8</v>
      </c>
      <c r="AC2" s="1">
        <v>0</v>
      </c>
      <c r="AD2" s="1">
        <v>0</v>
      </c>
      <c r="AE2" s="1">
        <v>400</v>
      </c>
      <c r="AF2" s="1">
        <v>0</v>
      </c>
      <c r="AG2" s="1">
        <v>3</v>
      </c>
      <c r="AH2" s="1">
        <v>26308.900845217999</v>
      </c>
      <c r="AI2" s="1">
        <v>104000</v>
      </c>
      <c r="AJ2" s="1">
        <v>10400</v>
      </c>
    </row>
    <row r="3" spans="1:36" x14ac:dyDescent="0.35">
      <c r="A3" s="1" t="s">
        <v>2</v>
      </c>
      <c r="B3" s="1">
        <v>0</v>
      </c>
      <c r="C3" s="1">
        <v>22000</v>
      </c>
      <c r="D3" s="1">
        <v>0</v>
      </c>
      <c r="E3" s="1">
        <v>0</v>
      </c>
      <c r="H3" s="1">
        <v>6633</v>
      </c>
      <c r="I3" s="1">
        <v>6606</v>
      </c>
      <c r="J3" s="1">
        <v>214</v>
      </c>
      <c r="K3" s="1">
        <v>129</v>
      </c>
      <c r="L3" s="1">
        <v>3657</v>
      </c>
      <c r="M3" s="3">
        <v>10530</v>
      </c>
      <c r="N3" s="1">
        <v>5169</v>
      </c>
      <c r="O3" s="1">
        <v>2021</v>
      </c>
      <c r="Q3" s="1">
        <v>11383</v>
      </c>
      <c r="S3" s="1">
        <v>121</v>
      </c>
      <c r="T3" s="1">
        <v>203080</v>
      </c>
      <c r="U3" s="4"/>
      <c r="X3" s="1">
        <v>0</v>
      </c>
      <c r="Y3" s="1">
        <v>0</v>
      </c>
      <c r="Z3" s="1">
        <v>5</v>
      </c>
      <c r="AA3" s="1">
        <v>10400</v>
      </c>
      <c r="AB3" s="1">
        <v>1</v>
      </c>
      <c r="AC3" s="1">
        <v>0</v>
      </c>
      <c r="AD3" s="1">
        <v>0</v>
      </c>
      <c r="AE3" s="1">
        <v>117</v>
      </c>
      <c r="AF3" s="1">
        <v>0</v>
      </c>
      <c r="AG3" s="1">
        <v>3</v>
      </c>
      <c r="AH3" s="1">
        <v>14507</v>
      </c>
      <c r="AI3" s="1">
        <v>19485</v>
      </c>
      <c r="AJ3" s="1">
        <v>10400</v>
      </c>
    </row>
    <row r="4" spans="1:36" x14ac:dyDescent="0.35">
      <c r="A4" s="1" t="s">
        <v>3</v>
      </c>
      <c r="B4" s="1">
        <v>0</v>
      </c>
      <c r="C4" s="1">
        <v>37180</v>
      </c>
      <c r="D4" s="1">
        <v>0</v>
      </c>
      <c r="E4" s="1">
        <v>15945</v>
      </c>
      <c r="H4" s="1">
        <v>22865</v>
      </c>
      <c r="I4" s="1">
        <v>22773</v>
      </c>
      <c r="J4" s="1">
        <v>738</v>
      </c>
      <c r="K4" s="1">
        <v>445</v>
      </c>
      <c r="L4" s="1">
        <v>12608</v>
      </c>
      <c r="M4" s="3">
        <v>33120</v>
      </c>
      <c r="N4" s="1">
        <v>17821</v>
      </c>
      <c r="O4" s="1">
        <v>6967</v>
      </c>
      <c r="Q4" s="1">
        <v>22766</v>
      </c>
      <c r="R4" s="1">
        <v>0</v>
      </c>
      <c r="S4" s="1">
        <v>418</v>
      </c>
      <c r="T4" s="1">
        <v>700130</v>
      </c>
      <c r="U4" s="4"/>
      <c r="X4" s="1">
        <v>0.5</v>
      </c>
      <c r="Y4" s="1">
        <v>1040</v>
      </c>
      <c r="Z4" s="1">
        <v>2</v>
      </c>
      <c r="AA4" s="1">
        <v>4160</v>
      </c>
      <c r="AB4" s="1">
        <v>5</v>
      </c>
      <c r="AC4" s="1">
        <v>0</v>
      </c>
      <c r="AD4" s="1">
        <v>0</v>
      </c>
      <c r="AE4" s="1">
        <v>368</v>
      </c>
      <c r="AF4" s="1">
        <v>0</v>
      </c>
      <c r="AG4" s="1">
        <v>3</v>
      </c>
      <c r="AH4" s="1">
        <v>40592</v>
      </c>
      <c r="AI4" s="1">
        <v>63994</v>
      </c>
      <c r="AJ4" s="1">
        <v>5200</v>
      </c>
    </row>
    <row r="5" spans="1:36" x14ac:dyDescent="0.35">
      <c r="A5" s="1" t="s">
        <v>4</v>
      </c>
      <c r="B5" s="1">
        <v>0</v>
      </c>
      <c r="C5" s="1">
        <v>1015287.4299999999</v>
      </c>
      <c r="D5" s="1">
        <v>0</v>
      </c>
      <c r="E5" s="1">
        <v>0</v>
      </c>
      <c r="H5" s="1">
        <v>613609</v>
      </c>
      <c r="I5" s="1">
        <v>176964</v>
      </c>
      <c r="J5" s="1">
        <v>6661</v>
      </c>
      <c r="K5" s="1">
        <v>2361</v>
      </c>
      <c r="L5" s="1">
        <v>135033</v>
      </c>
      <c r="M5" s="3">
        <v>310500</v>
      </c>
      <c r="N5" s="1">
        <v>164161</v>
      </c>
      <c r="O5" s="1">
        <v>84680</v>
      </c>
      <c r="Q5" s="1">
        <v>217425</v>
      </c>
      <c r="R5" s="1">
        <v>0</v>
      </c>
      <c r="S5" s="1">
        <v>631</v>
      </c>
      <c r="T5" s="1">
        <v>3950308</v>
      </c>
      <c r="U5" s="4"/>
      <c r="X5" s="1">
        <v>0</v>
      </c>
      <c r="Y5" s="1">
        <v>0</v>
      </c>
      <c r="Z5" s="1">
        <v>15</v>
      </c>
      <c r="AA5" s="1">
        <v>31200</v>
      </c>
      <c r="AB5" s="1">
        <v>7</v>
      </c>
      <c r="AC5" s="1">
        <v>0</v>
      </c>
      <c r="AD5" s="1">
        <v>0</v>
      </c>
      <c r="AE5" s="1">
        <v>3450</v>
      </c>
      <c r="AF5" s="1">
        <v>0</v>
      </c>
      <c r="AG5" s="1">
        <v>3</v>
      </c>
      <c r="AH5" s="1">
        <v>527372.42999999993</v>
      </c>
      <c r="AI5" s="1">
        <v>612055</v>
      </c>
      <c r="AJ5" s="1">
        <v>31200</v>
      </c>
    </row>
    <row r="6" spans="1:36" x14ac:dyDescent="0.35">
      <c r="A6" s="1" t="s">
        <v>5</v>
      </c>
      <c r="B6" s="1">
        <v>0</v>
      </c>
      <c r="C6" s="1">
        <v>107039</v>
      </c>
      <c r="D6" s="1">
        <v>0</v>
      </c>
      <c r="E6" s="1">
        <v>0</v>
      </c>
      <c r="H6" s="1">
        <v>87134</v>
      </c>
      <c r="I6" s="1">
        <v>17029</v>
      </c>
      <c r="J6" s="1">
        <v>676</v>
      </c>
      <c r="K6" s="1">
        <v>240</v>
      </c>
      <c r="L6" s="1">
        <v>13699</v>
      </c>
      <c r="M6" s="3">
        <v>31590</v>
      </c>
      <c r="N6" s="1">
        <v>16654</v>
      </c>
      <c r="O6" s="1">
        <v>8591</v>
      </c>
      <c r="Q6" s="1">
        <v>28990</v>
      </c>
      <c r="R6" s="1">
        <v>0</v>
      </c>
      <c r="S6" s="1">
        <v>64</v>
      </c>
      <c r="T6" s="1">
        <v>400756</v>
      </c>
      <c r="U6" s="4"/>
      <c r="X6" s="1">
        <v>0</v>
      </c>
      <c r="Y6" s="1">
        <v>0</v>
      </c>
      <c r="Z6" s="1">
        <v>2</v>
      </c>
      <c r="AA6" s="1">
        <v>4160</v>
      </c>
      <c r="AB6" s="1">
        <v>7</v>
      </c>
      <c r="AC6" s="1">
        <v>0</v>
      </c>
      <c r="AD6" s="1">
        <v>0</v>
      </c>
      <c r="AE6" s="1">
        <v>351</v>
      </c>
      <c r="AF6" s="1">
        <v>0</v>
      </c>
      <c r="AG6" s="1">
        <v>3</v>
      </c>
      <c r="AH6" s="1">
        <v>26738</v>
      </c>
      <c r="AI6" s="1">
        <v>62183</v>
      </c>
      <c r="AJ6" s="1">
        <v>4160</v>
      </c>
    </row>
    <row r="7" spans="1:36" x14ac:dyDescent="0.35">
      <c r="A7" s="1" t="s">
        <v>6</v>
      </c>
      <c r="B7" s="1">
        <v>0</v>
      </c>
      <c r="C7" s="1">
        <v>106450</v>
      </c>
      <c r="D7" s="1">
        <v>0</v>
      </c>
      <c r="E7" s="1">
        <v>0</v>
      </c>
      <c r="H7" s="1">
        <v>84741</v>
      </c>
      <c r="I7" s="1">
        <v>28846</v>
      </c>
      <c r="J7" s="1">
        <v>882</v>
      </c>
      <c r="K7" s="1">
        <v>313</v>
      </c>
      <c r="L7" s="1">
        <v>17887</v>
      </c>
      <c r="M7" s="3">
        <v>41130</v>
      </c>
      <c r="N7" s="1">
        <v>21745</v>
      </c>
      <c r="O7" s="1">
        <v>11217</v>
      </c>
      <c r="Q7" s="1">
        <v>25878</v>
      </c>
      <c r="R7" s="1">
        <v>0</v>
      </c>
      <c r="S7" s="1">
        <v>84</v>
      </c>
      <c r="T7" s="1">
        <v>523273</v>
      </c>
      <c r="U7" s="4"/>
      <c r="X7" s="1">
        <v>0</v>
      </c>
      <c r="Y7" s="1">
        <v>0</v>
      </c>
      <c r="Z7" s="1">
        <v>2</v>
      </c>
      <c r="AA7" s="1">
        <v>4160</v>
      </c>
      <c r="AB7" s="1">
        <v>6</v>
      </c>
      <c r="AC7" s="1">
        <v>0</v>
      </c>
      <c r="AD7" s="1">
        <v>0</v>
      </c>
      <c r="AE7" s="1">
        <v>457</v>
      </c>
      <c r="AF7" s="1">
        <v>0</v>
      </c>
      <c r="AG7" s="1">
        <v>3</v>
      </c>
      <c r="AH7" s="1">
        <v>35877</v>
      </c>
      <c r="AI7" s="1">
        <v>81075</v>
      </c>
      <c r="AJ7" s="1">
        <v>4160</v>
      </c>
    </row>
    <row r="8" spans="1:36" x14ac:dyDescent="0.35">
      <c r="A8" s="1" t="s">
        <v>7</v>
      </c>
      <c r="B8" s="1">
        <v>0</v>
      </c>
      <c r="C8" s="1">
        <v>103800</v>
      </c>
      <c r="D8" s="1">
        <v>0</v>
      </c>
      <c r="E8" s="1">
        <v>0</v>
      </c>
      <c r="H8" s="1">
        <v>75511</v>
      </c>
      <c r="I8" s="1">
        <v>9372</v>
      </c>
      <c r="J8" s="1">
        <v>372</v>
      </c>
      <c r="K8" s="1">
        <v>132</v>
      </c>
      <c r="L8" s="1">
        <v>7540</v>
      </c>
      <c r="M8" s="3">
        <v>17370</v>
      </c>
      <c r="N8" s="1">
        <v>9167</v>
      </c>
      <c r="O8" s="1">
        <v>4729</v>
      </c>
      <c r="Q8" s="1">
        <v>14495</v>
      </c>
      <c r="R8" s="1">
        <v>0</v>
      </c>
      <c r="S8" s="1">
        <v>35</v>
      </c>
      <c r="T8" s="1">
        <v>220588</v>
      </c>
      <c r="U8" s="4"/>
      <c r="X8" s="1">
        <v>0</v>
      </c>
      <c r="Y8" s="1">
        <v>0</v>
      </c>
      <c r="Z8" s="1">
        <v>1</v>
      </c>
      <c r="AA8" s="1">
        <v>2080</v>
      </c>
      <c r="AB8" s="1">
        <v>7</v>
      </c>
      <c r="AC8" s="1">
        <v>0</v>
      </c>
      <c r="AD8" s="1">
        <v>0</v>
      </c>
      <c r="AE8" s="1">
        <v>193</v>
      </c>
      <c r="AF8" s="1">
        <v>0</v>
      </c>
      <c r="AG8" s="1">
        <v>3</v>
      </c>
      <c r="AH8" s="1">
        <v>33495</v>
      </c>
      <c r="AI8" s="1">
        <v>34209</v>
      </c>
      <c r="AJ8" s="1">
        <v>2080</v>
      </c>
    </row>
    <row r="9" spans="1:36" x14ac:dyDescent="0.35">
      <c r="A9" s="1" t="s">
        <v>8</v>
      </c>
      <c r="B9" s="1">
        <v>0</v>
      </c>
      <c r="C9" s="1">
        <v>43559.1</v>
      </c>
      <c r="D9" s="1">
        <v>0</v>
      </c>
      <c r="E9" s="1">
        <v>0</v>
      </c>
      <c r="H9" s="1">
        <v>8799</v>
      </c>
      <c r="I9" s="1">
        <v>14134</v>
      </c>
      <c r="J9" s="1">
        <v>458</v>
      </c>
      <c r="K9" s="1">
        <v>276</v>
      </c>
      <c r="L9" s="1">
        <v>7824</v>
      </c>
      <c r="M9" s="3">
        <v>20520</v>
      </c>
      <c r="N9" s="1">
        <v>11060</v>
      </c>
      <c r="O9" s="1">
        <v>4324</v>
      </c>
      <c r="Q9" s="1">
        <v>22766</v>
      </c>
      <c r="R9" s="1">
        <v>0</v>
      </c>
      <c r="S9" s="1">
        <v>263</v>
      </c>
      <c r="T9" s="1">
        <v>434507</v>
      </c>
      <c r="U9" s="4"/>
      <c r="X9" s="1">
        <v>0</v>
      </c>
      <c r="Y9" s="1">
        <v>0</v>
      </c>
      <c r="Z9" s="1">
        <v>1</v>
      </c>
      <c r="AA9" s="1">
        <v>2080</v>
      </c>
      <c r="AB9" s="1">
        <v>11</v>
      </c>
      <c r="AC9" s="1">
        <v>0</v>
      </c>
      <c r="AD9" s="1">
        <v>0</v>
      </c>
      <c r="AE9" s="1">
        <v>228</v>
      </c>
      <c r="AF9" s="1">
        <v>0</v>
      </c>
      <c r="AG9" s="1">
        <v>3</v>
      </c>
      <c r="AH9" s="1">
        <v>32495.1</v>
      </c>
      <c r="AI9" s="1">
        <v>39680</v>
      </c>
      <c r="AJ9" s="1">
        <v>2080</v>
      </c>
    </row>
    <row r="10" spans="1:36" x14ac:dyDescent="0.35">
      <c r="A10" s="1" t="s">
        <v>9</v>
      </c>
      <c r="B10" s="1">
        <v>0</v>
      </c>
      <c r="C10" s="1">
        <v>61260</v>
      </c>
      <c r="D10" s="1">
        <v>0</v>
      </c>
      <c r="E10" s="1">
        <v>0</v>
      </c>
      <c r="H10" s="1">
        <v>29470</v>
      </c>
      <c r="I10" s="1">
        <v>21035</v>
      </c>
      <c r="J10" s="1">
        <v>835</v>
      </c>
      <c r="K10" s="1">
        <v>296</v>
      </c>
      <c r="L10" s="1">
        <v>16922</v>
      </c>
      <c r="M10" s="3">
        <v>39420</v>
      </c>
      <c r="N10" s="1">
        <v>20572</v>
      </c>
      <c r="O10" s="1">
        <v>10612</v>
      </c>
      <c r="Q10" s="1">
        <v>25878</v>
      </c>
      <c r="R10" s="1">
        <v>0</v>
      </c>
      <c r="S10" s="1">
        <v>79</v>
      </c>
      <c r="T10" s="1">
        <v>495037</v>
      </c>
      <c r="U10" s="4"/>
      <c r="X10" s="1">
        <v>0</v>
      </c>
      <c r="Y10" s="1">
        <v>0</v>
      </c>
      <c r="Z10" s="1">
        <v>2</v>
      </c>
      <c r="AA10" s="1">
        <v>4160</v>
      </c>
      <c r="AB10" s="1">
        <v>6</v>
      </c>
      <c r="AC10" s="1">
        <v>0</v>
      </c>
      <c r="AD10" s="1">
        <v>0</v>
      </c>
      <c r="AE10" s="1">
        <v>438</v>
      </c>
      <c r="AF10" s="1">
        <v>0</v>
      </c>
      <c r="AG10" s="1">
        <v>3</v>
      </c>
      <c r="AH10" s="1">
        <v>50561</v>
      </c>
      <c r="AI10" s="1">
        <v>77210</v>
      </c>
      <c r="AJ10" s="1">
        <v>4160</v>
      </c>
    </row>
    <row r="11" spans="1:36" x14ac:dyDescent="0.35">
      <c r="A11" s="1" t="s">
        <v>10</v>
      </c>
      <c r="B11" s="1">
        <v>0</v>
      </c>
      <c r="C11" s="1">
        <v>84000</v>
      </c>
      <c r="D11" s="1">
        <v>0</v>
      </c>
      <c r="E11" s="1">
        <v>0</v>
      </c>
      <c r="H11" s="1">
        <v>32663</v>
      </c>
      <c r="I11" s="1">
        <v>23313</v>
      </c>
      <c r="J11" s="1">
        <v>925</v>
      </c>
      <c r="K11" s="1">
        <v>38791</v>
      </c>
      <c r="L11" s="1">
        <v>42600</v>
      </c>
      <c r="M11" s="3">
        <v>43110</v>
      </c>
      <c r="N11" s="1">
        <v>70000</v>
      </c>
      <c r="O11" s="1">
        <v>11761</v>
      </c>
      <c r="Q11" s="1">
        <v>28990</v>
      </c>
      <c r="R11" s="1">
        <v>0</v>
      </c>
      <c r="S11" s="1">
        <v>88</v>
      </c>
      <c r="T11" s="1">
        <v>548669</v>
      </c>
      <c r="U11" s="4"/>
      <c r="X11" s="1">
        <v>0</v>
      </c>
      <c r="Y11" s="1">
        <v>0</v>
      </c>
      <c r="Z11" s="1">
        <v>2</v>
      </c>
      <c r="AA11" s="1">
        <v>4160</v>
      </c>
      <c r="AB11" s="1">
        <v>7</v>
      </c>
      <c r="AC11" s="1">
        <v>0</v>
      </c>
      <c r="AD11" s="1">
        <v>0</v>
      </c>
      <c r="AE11" s="1">
        <v>479</v>
      </c>
      <c r="AF11" s="1">
        <v>0</v>
      </c>
      <c r="AG11" s="1">
        <v>3</v>
      </c>
      <c r="AH11" s="1">
        <v>180761</v>
      </c>
      <c r="AI11" s="1">
        <v>194501</v>
      </c>
      <c r="AJ11" s="1">
        <v>4160</v>
      </c>
    </row>
    <row r="12" spans="1:36" x14ac:dyDescent="0.35">
      <c r="A12" s="1" t="s">
        <v>11</v>
      </c>
      <c r="B12" s="1">
        <v>0</v>
      </c>
      <c r="C12" s="1">
        <v>34190</v>
      </c>
      <c r="D12" s="1">
        <v>0</v>
      </c>
      <c r="E12" s="1">
        <v>4098</v>
      </c>
      <c r="H12" s="1">
        <v>18409</v>
      </c>
      <c r="I12" s="1">
        <v>27887</v>
      </c>
      <c r="J12" s="1">
        <v>903</v>
      </c>
      <c r="K12" s="1">
        <v>545</v>
      </c>
      <c r="L12" s="1">
        <v>15437</v>
      </c>
      <c r="M12" s="3">
        <v>39600</v>
      </c>
      <c r="N12" s="1">
        <v>21821</v>
      </c>
      <c r="O12" s="1">
        <v>8531</v>
      </c>
      <c r="Q12" s="1">
        <v>22766</v>
      </c>
      <c r="R12" s="1">
        <v>0</v>
      </c>
      <c r="S12" s="1">
        <v>512</v>
      </c>
      <c r="T12" s="1">
        <v>857278</v>
      </c>
      <c r="U12" s="4"/>
      <c r="X12" s="1">
        <v>0</v>
      </c>
      <c r="Y12" s="1">
        <v>0</v>
      </c>
      <c r="Z12" s="1">
        <v>1</v>
      </c>
      <c r="AA12" s="1">
        <v>2080</v>
      </c>
      <c r="AB12" s="1">
        <v>11</v>
      </c>
      <c r="AC12" s="1">
        <v>0</v>
      </c>
      <c r="AD12" s="1">
        <v>0</v>
      </c>
      <c r="AE12" s="1">
        <v>440</v>
      </c>
      <c r="AF12" s="1">
        <v>0</v>
      </c>
      <c r="AG12" s="1">
        <v>3</v>
      </c>
      <c r="AH12" s="1">
        <v>36683</v>
      </c>
      <c r="AI12" s="1">
        <v>77403</v>
      </c>
      <c r="AJ12" s="1">
        <v>2080</v>
      </c>
    </row>
    <row r="13" spans="1:36" x14ac:dyDescent="0.35">
      <c r="A13" s="1" t="s">
        <v>12</v>
      </c>
      <c r="B13" s="1">
        <v>0</v>
      </c>
      <c r="C13" s="1">
        <v>103400</v>
      </c>
      <c r="D13" s="1">
        <v>0</v>
      </c>
      <c r="E13" s="1">
        <v>0</v>
      </c>
      <c r="H13" s="1">
        <v>53013</v>
      </c>
      <c r="I13" s="1">
        <v>38561</v>
      </c>
      <c r="J13" s="1">
        <v>1501</v>
      </c>
      <c r="K13" s="1">
        <v>532</v>
      </c>
      <c r="L13" s="1">
        <v>30439</v>
      </c>
      <c r="M13" s="3">
        <v>69930</v>
      </c>
      <c r="N13" s="1">
        <v>37005</v>
      </c>
      <c r="O13" s="1">
        <v>19089</v>
      </c>
      <c r="Q13" s="1">
        <v>28990</v>
      </c>
      <c r="R13" s="1">
        <v>0</v>
      </c>
      <c r="S13" s="1">
        <v>142</v>
      </c>
      <c r="T13" s="1">
        <v>890480</v>
      </c>
      <c r="U13" s="4"/>
      <c r="X13" s="1">
        <v>0</v>
      </c>
      <c r="Y13" s="1">
        <v>0</v>
      </c>
      <c r="Z13" s="1">
        <v>3</v>
      </c>
      <c r="AA13" s="1">
        <v>6240</v>
      </c>
      <c r="AB13" s="1">
        <v>5</v>
      </c>
      <c r="AC13" s="1">
        <v>0</v>
      </c>
      <c r="AD13" s="1">
        <v>0</v>
      </c>
      <c r="AE13" s="1">
        <v>777</v>
      </c>
      <c r="AF13" s="1">
        <v>0</v>
      </c>
      <c r="AG13" s="1">
        <v>3</v>
      </c>
      <c r="AH13" s="1">
        <v>100010</v>
      </c>
      <c r="AI13" s="1">
        <v>137906</v>
      </c>
      <c r="AJ13" s="1">
        <v>6240</v>
      </c>
    </row>
    <row r="14" spans="1:36" x14ac:dyDescent="0.35">
      <c r="A14" s="1" t="s">
        <v>13</v>
      </c>
      <c r="B14" s="1">
        <v>0</v>
      </c>
      <c r="C14" s="1">
        <v>56050</v>
      </c>
      <c r="D14" s="1">
        <v>0</v>
      </c>
      <c r="E14" s="1">
        <v>0</v>
      </c>
      <c r="H14" s="1">
        <v>21535</v>
      </c>
      <c r="I14" s="1">
        <v>14372</v>
      </c>
      <c r="J14" s="1">
        <v>610</v>
      </c>
      <c r="K14" s="1">
        <v>216</v>
      </c>
      <c r="L14" s="1">
        <v>12365</v>
      </c>
      <c r="M14" s="3">
        <v>28440</v>
      </c>
      <c r="N14" s="1">
        <v>15032</v>
      </c>
      <c r="O14" s="1">
        <v>7754</v>
      </c>
      <c r="Q14" s="1">
        <v>14495</v>
      </c>
      <c r="R14" s="1">
        <v>0</v>
      </c>
      <c r="S14" s="1">
        <v>58</v>
      </c>
      <c r="T14" s="1">
        <v>361734</v>
      </c>
      <c r="U14" s="4"/>
      <c r="X14" s="1">
        <v>0</v>
      </c>
      <c r="Y14" s="1">
        <v>0</v>
      </c>
      <c r="Z14" s="1">
        <v>1</v>
      </c>
      <c r="AA14" s="1">
        <v>2080</v>
      </c>
      <c r="AB14" s="1">
        <v>7</v>
      </c>
      <c r="AC14" s="1">
        <v>0</v>
      </c>
      <c r="AD14" s="1">
        <v>0</v>
      </c>
      <c r="AE14" s="1">
        <v>316</v>
      </c>
      <c r="AF14" s="1">
        <v>0</v>
      </c>
      <c r="AG14" s="1">
        <v>3</v>
      </c>
      <c r="AH14" s="1">
        <v>53279</v>
      </c>
      <c r="AI14" s="1">
        <v>56053</v>
      </c>
      <c r="AJ14" s="1">
        <v>2080</v>
      </c>
    </row>
    <row r="15" spans="1:36" x14ac:dyDescent="0.35">
      <c r="A15" s="1" t="s">
        <v>14</v>
      </c>
      <c r="B15" s="1">
        <v>0</v>
      </c>
      <c r="C15" s="1">
        <v>113575</v>
      </c>
      <c r="D15" s="1">
        <v>0</v>
      </c>
      <c r="E15" s="1">
        <v>0</v>
      </c>
      <c r="H15" s="1">
        <v>70173</v>
      </c>
      <c r="I15" s="1">
        <v>26418</v>
      </c>
      <c r="J15" s="1">
        <v>1048</v>
      </c>
      <c r="K15" s="1">
        <v>0</v>
      </c>
      <c r="L15" s="1">
        <v>40560</v>
      </c>
      <c r="M15" s="3">
        <v>48870</v>
      </c>
      <c r="N15" s="1">
        <v>17239</v>
      </c>
      <c r="O15" s="1">
        <v>13328</v>
      </c>
      <c r="Q15" s="1">
        <v>14495</v>
      </c>
      <c r="R15" s="1">
        <v>0</v>
      </c>
      <c r="S15" s="1">
        <v>183</v>
      </c>
      <c r="T15" s="1">
        <v>621744</v>
      </c>
      <c r="U15" s="4"/>
      <c r="X15" s="1">
        <v>0</v>
      </c>
      <c r="Y15" s="1">
        <v>0.1</v>
      </c>
      <c r="Z15" s="1">
        <v>1</v>
      </c>
      <c r="AA15" s="1">
        <v>2080</v>
      </c>
      <c r="AB15" s="1">
        <v>7</v>
      </c>
      <c r="AC15" s="1">
        <v>0</v>
      </c>
      <c r="AD15" s="1">
        <v>0</v>
      </c>
      <c r="AE15" s="1">
        <v>543</v>
      </c>
      <c r="AF15" s="1">
        <v>0</v>
      </c>
      <c r="AG15" s="1">
        <v>3</v>
      </c>
      <c r="AH15" s="1">
        <v>94599</v>
      </c>
      <c r="AI15" s="1">
        <v>106669</v>
      </c>
      <c r="AJ15" s="1">
        <v>2080.1</v>
      </c>
    </row>
    <row r="16" spans="1:36" x14ac:dyDescent="0.35">
      <c r="A16" s="1" t="s">
        <v>15</v>
      </c>
      <c r="B16" s="1">
        <v>8000</v>
      </c>
      <c r="C16" s="1">
        <v>85500</v>
      </c>
      <c r="D16" s="1">
        <v>0</v>
      </c>
      <c r="E16" s="1">
        <v>0</v>
      </c>
      <c r="H16" s="1">
        <v>15083</v>
      </c>
      <c r="I16" s="1">
        <v>10785</v>
      </c>
      <c r="J16" s="1">
        <v>427</v>
      </c>
      <c r="K16" s="1">
        <v>151</v>
      </c>
      <c r="L16" s="1">
        <v>8660</v>
      </c>
      <c r="M16" s="3">
        <v>25740</v>
      </c>
      <c r="N16" s="1">
        <v>10528</v>
      </c>
      <c r="O16" s="1">
        <v>5431</v>
      </c>
      <c r="Q16" s="1">
        <v>14495</v>
      </c>
      <c r="R16" s="1">
        <v>0</v>
      </c>
      <c r="S16" s="1">
        <v>40</v>
      </c>
      <c r="T16" s="1">
        <v>253346</v>
      </c>
      <c r="U16" s="4"/>
      <c r="X16" s="1">
        <v>0</v>
      </c>
      <c r="Y16" s="1">
        <v>0</v>
      </c>
      <c r="Z16" s="1">
        <v>1</v>
      </c>
      <c r="AA16" s="1">
        <v>2080</v>
      </c>
      <c r="AB16" s="1">
        <v>7</v>
      </c>
      <c r="AC16" s="1">
        <v>0</v>
      </c>
      <c r="AD16" s="1">
        <v>0</v>
      </c>
      <c r="AE16" s="1">
        <v>286</v>
      </c>
      <c r="AF16" s="1">
        <v>0</v>
      </c>
      <c r="AG16" s="1">
        <v>3</v>
      </c>
      <c r="AH16" s="1">
        <v>92318</v>
      </c>
      <c r="AI16" s="1">
        <v>45079</v>
      </c>
      <c r="AJ16" s="1">
        <v>2080</v>
      </c>
    </row>
    <row r="17" spans="1:36" x14ac:dyDescent="0.35">
      <c r="A17" s="1" t="s">
        <v>16</v>
      </c>
      <c r="B17" s="1">
        <v>0</v>
      </c>
      <c r="C17" s="1">
        <v>18500</v>
      </c>
      <c r="D17" s="1">
        <v>0</v>
      </c>
      <c r="E17" s="1">
        <v>0</v>
      </c>
      <c r="H17" s="1">
        <v>8793</v>
      </c>
      <c r="I17" s="1">
        <v>6276</v>
      </c>
      <c r="J17" s="1">
        <v>249</v>
      </c>
      <c r="K17" s="1">
        <v>2734</v>
      </c>
      <c r="L17" s="1">
        <v>6277</v>
      </c>
      <c r="M17" s="3">
        <v>23670</v>
      </c>
      <c r="N17" s="1">
        <v>12278</v>
      </c>
      <c r="O17" s="1">
        <v>3166</v>
      </c>
      <c r="Q17" s="1">
        <v>14495</v>
      </c>
      <c r="R17" s="1">
        <v>0</v>
      </c>
      <c r="S17" s="1">
        <v>24</v>
      </c>
      <c r="T17" s="1">
        <v>147707</v>
      </c>
      <c r="U17" s="4"/>
      <c r="X17" s="1">
        <v>0</v>
      </c>
      <c r="Y17" s="1">
        <v>0</v>
      </c>
      <c r="Z17" s="1">
        <v>1</v>
      </c>
      <c r="AA17" s="1">
        <v>2080</v>
      </c>
      <c r="AB17" s="1">
        <v>7</v>
      </c>
      <c r="AC17" s="1">
        <v>0</v>
      </c>
      <c r="AD17" s="1">
        <v>0</v>
      </c>
      <c r="AE17" s="1">
        <v>263</v>
      </c>
      <c r="AF17" s="1">
        <v>0</v>
      </c>
      <c r="AG17" s="1">
        <v>3</v>
      </c>
      <c r="AH17" s="1">
        <v>30456</v>
      </c>
      <c r="AI17" s="1">
        <v>44959</v>
      </c>
      <c r="AJ17" s="1">
        <v>2080</v>
      </c>
    </row>
    <row r="18" spans="1:36" x14ac:dyDescent="0.35">
      <c r="A18" s="1" t="s">
        <v>17</v>
      </c>
      <c r="B18" s="1">
        <v>0</v>
      </c>
      <c r="C18" s="1">
        <v>13722</v>
      </c>
      <c r="D18" s="1">
        <v>0</v>
      </c>
      <c r="E18" s="1">
        <v>2150</v>
      </c>
      <c r="H18" s="1">
        <v>11058.36</v>
      </c>
      <c r="I18" s="1">
        <v>7566.85</v>
      </c>
      <c r="J18" s="1">
        <v>169</v>
      </c>
      <c r="K18" s="1">
        <v>0</v>
      </c>
      <c r="L18" s="1">
        <v>0</v>
      </c>
      <c r="M18" s="3">
        <v>14625</v>
      </c>
      <c r="N18" s="1">
        <v>0</v>
      </c>
      <c r="O18" s="1">
        <v>565</v>
      </c>
      <c r="Q18" s="1">
        <v>0</v>
      </c>
      <c r="R18" s="1">
        <v>5950</v>
      </c>
      <c r="S18" s="1">
        <v>4</v>
      </c>
      <c r="T18" s="1">
        <v>26335</v>
      </c>
      <c r="U18" s="4"/>
      <c r="X18" s="1">
        <v>1</v>
      </c>
      <c r="Y18" s="1">
        <v>2080</v>
      </c>
      <c r="Z18" s="1">
        <v>0</v>
      </c>
      <c r="AA18" s="1">
        <v>0</v>
      </c>
      <c r="AB18" s="1">
        <v>0</v>
      </c>
      <c r="AC18" s="1">
        <v>23</v>
      </c>
      <c r="AD18" s="1">
        <v>258.69565217391306</v>
      </c>
      <c r="AE18" s="1">
        <v>0</v>
      </c>
      <c r="AF18" s="1">
        <v>0</v>
      </c>
      <c r="AG18" s="1">
        <v>3</v>
      </c>
      <c r="AH18" s="1">
        <v>6893.79</v>
      </c>
      <c r="AI18" s="1">
        <v>14265</v>
      </c>
      <c r="AJ18" s="1">
        <v>2080</v>
      </c>
    </row>
    <row r="19" spans="1:36" x14ac:dyDescent="0.35">
      <c r="A19" s="1" t="s">
        <v>18</v>
      </c>
      <c r="B19" s="1">
        <v>14803.5</v>
      </c>
      <c r="C19" s="1">
        <v>68416</v>
      </c>
      <c r="D19" s="1">
        <v>0</v>
      </c>
      <c r="E19" s="1">
        <v>7950</v>
      </c>
      <c r="H19" s="1">
        <v>22496</v>
      </c>
      <c r="I19" s="1">
        <v>26385</v>
      </c>
      <c r="J19" s="1">
        <v>637</v>
      </c>
      <c r="K19" s="1">
        <v>236.41</v>
      </c>
      <c r="L19" s="1">
        <v>23819.4</v>
      </c>
      <c r="M19" s="3">
        <v>29700</v>
      </c>
      <c r="N19" s="1">
        <v>37508.980000000003</v>
      </c>
      <c r="O19" s="1">
        <v>8100</v>
      </c>
      <c r="Q19" s="1">
        <v>38061</v>
      </c>
      <c r="R19" s="1">
        <v>25000</v>
      </c>
      <c r="S19" s="1">
        <v>60</v>
      </c>
      <c r="T19" s="1">
        <v>377856</v>
      </c>
      <c r="U19" s="4"/>
      <c r="X19" s="1">
        <v>1</v>
      </c>
      <c r="Y19" s="1">
        <v>2080</v>
      </c>
      <c r="Z19" s="1">
        <v>2</v>
      </c>
      <c r="AA19" s="1">
        <v>4160</v>
      </c>
      <c r="AB19" s="1">
        <v>6</v>
      </c>
      <c r="AC19" s="1">
        <v>0</v>
      </c>
      <c r="AD19" s="1">
        <v>0</v>
      </c>
      <c r="AE19" s="1">
        <v>330</v>
      </c>
      <c r="AF19" s="1">
        <v>75</v>
      </c>
      <c r="AG19" s="1">
        <v>3</v>
      </c>
      <c r="AH19" s="1">
        <v>61695.290000000008</v>
      </c>
      <c r="AI19" s="1">
        <v>91264.790000000008</v>
      </c>
      <c r="AJ19" s="1">
        <v>6240</v>
      </c>
    </row>
    <row r="20" spans="1:36" x14ac:dyDescent="0.35">
      <c r="A20" s="1" t="s">
        <v>19</v>
      </c>
      <c r="B20" s="1">
        <v>0</v>
      </c>
      <c r="C20" s="1">
        <v>98455</v>
      </c>
      <c r="D20" s="1">
        <v>0</v>
      </c>
      <c r="E20" s="1">
        <v>4372</v>
      </c>
      <c r="H20" s="1">
        <v>66708</v>
      </c>
      <c r="I20" s="1">
        <v>21407</v>
      </c>
      <c r="J20" s="1">
        <v>849</v>
      </c>
      <c r="K20" s="1">
        <v>301</v>
      </c>
      <c r="L20" s="1">
        <v>17222</v>
      </c>
      <c r="M20" s="3">
        <v>39240</v>
      </c>
      <c r="N20" s="1">
        <v>20936</v>
      </c>
      <c r="O20" s="1">
        <v>10800</v>
      </c>
      <c r="Q20" s="1">
        <v>38061</v>
      </c>
      <c r="S20" s="1">
        <v>81</v>
      </c>
      <c r="T20" s="1">
        <v>503807</v>
      </c>
      <c r="U20" s="4"/>
      <c r="X20" s="1">
        <v>0</v>
      </c>
      <c r="Y20" s="1">
        <v>0</v>
      </c>
      <c r="Z20" s="1">
        <v>3</v>
      </c>
      <c r="AA20" s="1">
        <v>6240</v>
      </c>
      <c r="AB20" s="1">
        <v>6</v>
      </c>
      <c r="AC20" s="1">
        <v>0</v>
      </c>
      <c r="AD20" s="1">
        <v>0</v>
      </c>
      <c r="AE20" s="1">
        <v>436</v>
      </c>
      <c r="AF20" s="1">
        <v>0</v>
      </c>
      <c r="AG20" s="1">
        <v>3</v>
      </c>
      <c r="AH20" s="1">
        <v>42620</v>
      </c>
      <c r="AI20" s="1">
        <v>77699</v>
      </c>
      <c r="AJ20" s="1">
        <v>6240</v>
      </c>
    </row>
    <row r="21" spans="1:36" x14ac:dyDescent="0.35">
      <c r="A21" s="1" t="s">
        <v>20</v>
      </c>
      <c r="B21" s="1">
        <v>0</v>
      </c>
      <c r="C21" s="1">
        <v>169208</v>
      </c>
      <c r="D21" s="1">
        <v>0</v>
      </c>
      <c r="E21" s="1">
        <v>1280</v>
      </c>
      <c r="H21" s="1">
        <v>70685</v>
      </c>
      <c r="I21" s="1">
        <v>13622</v>
      </c>
      <c r="J21" s="1">
        <v>541</v>
      </c>
      <c r="K21" s="1">
        <v>192</v>
      </c>
      <c r="L21" s="1">
        <v>10959</v>
      </c>
      <c r="M21" s="3">
        <v>35550</v>
      </c>
      <c r="N21" s="1">
        <v>13323</v>
      </c>
      <c r="O21" s="1">
        <v>6873</v>
      </c>
      <c r="Q21" s="1">
        <v>14495</v>
      </c>
      <c r="S21" s="1">
        <v>51</v>
      </c>
      <c r="T21" s="1">
        <v>320605</v>
      </c>
      <c r="U21" s="4"/>
      <c r="X21" s="1">
        <v>0</v>
      </c>
      <c r="Y21" s="1">
        <v>0</v>
      </c>
      <c r="Z21" s="1">
        <v>1</v>
      </c>
      <c r="AA21" s="1">
        <v>2080</v>
      </c>
      <c r="AB21" s="1">
        <v>7</v>
      </c>
      <c r="AC21" s="1">
        <v>0</v>
      </c>
      <c r="AD21" s="1">
        <v>0</v>
      </c>
      <c r="AE21" s="1">
        <v>395</v>
      </c>
      <c r="AF21" s="1">
        <v>0</v>
      </c>
      <c r="AG21" s="1">
        <v>3</v>
      </c>
      <c r="AH21" s="1">
        <v>124245</v>
      </c>
      <c r="AI21" s="1">
        <v>60024</v>
      </c>
      <c r="AJ21" s="1">
        <v>2080</v>
      </c>
    </row>
    <row r="22" spans="1:36" x14ac:dyDescent="0.35">
      <c r="A22" s="1" t="s">
        <v>21</v>
      </c>
      <c r="B22" s="1">
        <v>0</v>
      </c>
      <c r="C22" s="1">
        <v>45650</v>
      </c>
      <c r="D22" s="1">
        <v>0</v>
      </c>
      <c r="E22" s="1">
        <v>0</v>
      </c>
      <c r="H22" s="1">
        <v>6827</v>
      </c>
      <c r="I22" s="1">
        <v>16820</v>
      </c>
      <c r="J22" s="1">
        <v>201</v>
      </c>
      <c r="K22" s="1">
        <v>71</v>
      </c>
      <c r="L22" s="1">
        <v>4071</v>
      </c>
      <c r="M22" s="3">
        <v>9270</v>
      </c>
      <c r="N22" s="1">
        <v>4949</v>
      </c>
      <c r="O22" s="1">
        <v>2553</v>
      </c>
      <c r="Q22" s="1">
        <v>14495</v>
      </c>
      <c r="R22" s="1">
        <v>0</v>
      </c>
      <c r="S22" s="1">
        <v>19</v>
      </c>
      <c r="T22" s="1">
        <v>119082</v>
      </c>
      <c r="U22" s="4"/>
      <c r="X22" s="1">
        <v>1</v>
      </c>
      <c r="Y22" s="1">
        <v>2080</v>
      </c>
      <c r="Z22" s="1">
        <v>1</v>
      </c>
      <c r="AA22" s="1">
        <v>2080</v>
      </c>
      <c r="AB22" s="1">
        <v>7</v>
      </c>
      <c r="AC22" s="1">
        <v>0</v>
      </c>
      <c r="AD22" s="1">
        <v>0</v>
      </c>
      <c r="AE22" s="1">
        <v>103</v>
      </c>
      <c r="AF22" s="1">
        <v>0</v>
      </c>
      <c r="AG22" s="1">
        <v>3</v>
      </c>
      <c r="AH22" s="1">
        <v>23096</v>
      </c>
      <c r="AI22" s="1">
        <v>18361</v>
      </c>
      <c r="AJ22" s="1">
        <v>4160</v>
      </c>
    </row>
    <row r="23" spans="1:36" x14ac:dyDescent="0.35">
      <c r="A23" s="1" t="s">
        <v>22</v>
      </c>
      <c r="B23" s="1">
        <v>4217</v>
      </c>
      <c r="C23" s="1">
        <v>19300</v>
      </c>
      <c r="D23" s="1">
        <v>0</v>
      </c>
      <c r="E23" s="1">
        <v>1029</v>
      </c>
      <c r="H23" s="1">
        <v>9932</v>
      </c>
      <c r="I23" s="1">
        <v>8174</v>
      </c>
      <c r="J23" s="1">
        <v>324</v>
      </c>
      <c r="K23" s="1">
        <v>115</v>
      </c>
      <c r="L23" s="1">
        <v>6576</v>
      </c>
      <c r="M23" s="3">
        <v>14580</v>
      </c>
      <c r="N23" s="1">
        <v>7994</v>
      </c>
      <c r="O23" s="1">
        <v>4124</v>
      </c>
      <c r="Q23" s="1">
        <v>14495</v>
      </c>
      <c r="R23" s="1">
        <v>1955</v>
      </c>
      <c r="S23" s="1">
        <v>31</v>
      </c>
      <c r="T23" s="1">
        <v>192363</v>
      </c>
      <c r="U23" s="4"/>
      <c r="X23" s="1">
        <v>1</v>
      </c>
      <c r="Y23" s="1">
        <v>2080</v>
      </c>
      <c r="Z23" s="1">
        <v>0.5</v>
      </c>
      <c r="AA23" s="1">
        <v>1040</v>
      </c>
      <c r="AB23" s="1">
        <v>0</v>
      </c>
      <c r="AC23" s="1">
        <v>40</v>
      </c>
      <c r="AD23" s="1">
        <v>0</v>
      </c>
      <c r="AE23" s="1">
        <v>122</v>
      </c>
      <c r="AF23" s="1">
        <v>0</v>
      </c>
      <c r="AG23" s="1">
        <v>3</v>
      </c>
      <c r="AH23" s="1">
        <v>14776</v>
      </c>
      <c r="AI23" s="1">
        <v>29265</v>
      </c>
      <c r="AJ23" s="1">
        <v>3120</v>
      </c>
    </row>
    <row r="24" spans="1:36" x14ac:dyDescent="0.35">
      <c r="A24" s="1" t="s">
        <v>23</v>
      </c>
      <c r="B24" s="1">
        <v>0</v>
      </c>
      <c r="C24" s="1">
        <v>749900</v>
      </c>
      <c r="D24" s="1">
        <v>0</v>
      </c>
      <c r="E24" s="1">
        <v>0</v>
      </c>
      <c r="H24" s="1">
        <v>165538</v>
      </c>
      <c r="I24" s="1">
        <v>167111</v>
      </c>
      <c r="J24" s="1">
        <v>5406</v>
      </c>
      <c r="K24" s="1">
        <v>1916</v>
      </c>
      <c r="L24" s="1">
        <v>109592</v>
      </c>
      <c r="M24" s="3">
        <v>252000</v>
      </c>
      <c r="N24" s="1">
        <v>133232</v>
      </c>
      <c r="O24" s="1">
        <v>68726</v>
      </c>
      <c r="Q24" s="1">
        <v>73410</v>
      </c>
      <c r="R24" s="1">
        <v>5950</v>
      </c>
      <c r="S24" s="1">
        <v>512</v>
      </c>
      <c r="T24" s="1">
        <v>3206047</v>
      </c>
      <c r="U24" s="4"/>
      <c r="X24" s="1">
        <v>0</v>
      </c>
      <c r="Y24" s="1">
        <v>0</v>
      </c>
      <c r="Z24" s="1">
        <v>6</v>
      </c>
      <c r="AA24" s="1">
        <v>12480</v>
      </c>
      <c r="AB24" s="1">
        <v>0</v>
      </c>
      <c r="AC24" s="1">
        <v>0</v>
      </c>
      <c r="AD24" s="1">
        <v>0</v>
      </c>
      <c r="AE24" s="1">
        <v>2800</v>
      </c>
      <c r="AF24" s="1">
        <v>0</v>
      </c>
      <c r="AG24" s="1">
        <v>3</v>
      </c>
      <c r="AH24" s="1">
        <v>759987</v>
      </c>
      <c r="AI24" s="1">
        <v>496740</v>
      </c>
      <c r="AJ24" s="1">
        <v>12480</v>
      </c>
    </row>
    <row r="25" spans="1:36" x14ac:dyDescent="0.35">
      <c r="A25" s="1" t="s">
        <v>24</v>
      </c>
      <c r="B25" s="1">
        <v>2599</v>
      </c>
      <c r="C25" s="1">
        <v>13950</v>
      </c>
      <c r="D25" s="1">
        <v>0</v>
      </c>
      <c r="E25" s="1">
        <v>1029</v>
      </c>
      <c r="H25" s="1">
        <v>6120</v>
      </c>
      <c r="I25" s="1">
        <v>5036</v>
      </c>
      <c r="J25" s="1">
        <v>200</v>
      </c>
      <c r="K25" s="1">
        <v>71</v>
      </c>
      <c r="L25" s="1">
        <v>4052</v>
      </c>
      <c r="M25" s="3">
        <v>5220</v>
      </c>
      <c r="N25" s="1">
        <v>4926</v>
      </c>
      <c r="O25" s="1">
        <v>2541</v>
      </c>
      <c r="Q25" s="1">
        <v>14495</v>
      </c>
      <c r="R25" s="1">
        <v>0</v>
      </c>
      <c r="S25" s="1">
        <v>19</v>
      </c>
      <c r="T25" s="1">
        <v>118544</v>
      </c>
      <c r="U25" s="4"/>
      <c r="X25" s="1">
        <v>1</v>
      </c>
      <c r="Y25" s="1">
        <v>2080</v>
      </c>
      <c r="Z25" s="1">
        <v>1</v>
      </c>
      <c r="AA25" s="1">
        <v>2080</v>
      </c>
      <c r="AB25" s="1">
        <v>7</v>
      </c>
      <c r="AC25" s="1">
        <v>0</v>
      </c>
      <c r="AD25" s="1">
        <v>0</v>
      </c>
      <c r="AE25" s="1">
        <v>58</v>
      </c>
      <c r="AF25" s="1">
        <v>0</v>
      </c>
      <c r="AG25" s="1">
        <v>3</v>
      </c>
      <c r="AH25" s="1">
        <v>3436</v>
      </c>
      <c r="AI25" s="1">
        <v>14269</v>
      </c>
      <c r="AJ25" s="1">
        <v>4160</v>
      </c>
    </row>
    <row r="26" spans="1:36" x14ac:dyDescent="0.35">
      <c r="A26" s="1" t="s">
        <v>25</v>
      </c>
      <c r="B26" s="1">
        <v>0</v>
      </c>
      <c r="C26" s="1">
        <v>58300</v>
      </c>
      <c r="D26" s="1">
        <v>0</v>
      </c>
      <c r="E26" s="1">
        <v>0</v>
      </c>
      <c r="H26" s="1">
        <v>13007</v>
      </c>
      <c r="I26" s="1">
        <v>10705</v>
      </c>
      <c r="J26" s="1">
        <v>425</v>
      </c>
      <c r="K26" s="1">
        <v>151</v>
      </c>
      <c r="L26" s="1">
        <v>8611</v>
      </c>
      <c r="M26" s="3">
        <v>19800</v>
      </c>
      <c r="N26" s="1">
        <v>10468</v>
      </c>
      <c r="O26" s="1">
        <v>5400</v>
      </c>
      <c r="Q26" s="1">
        <v>21742.5</v>
      </c>
      <c r="R26" s="1">
        <v>4000</v>
      </c>
      <c r="S26" s="1">
        <v>40</v>
      </c>
      <c r="T26" s="1">
        <v>251904</v>
      </c>
      <c r="U26" s="4"/>
      <c r="X26" s="1">
        <v>1</v>
      </c>
      <c r="Y26" s="1">
        <v>2080</v>
      </c>
      <c r="Z26" s="1">
        <v>1.5</v>
      </c>
      <c r="AA26" s="1">
        <v>3120</v>
      </c>
      <c r="AB26" s="1">
        <v>7</v>
      </c>
      <c r="AC26" s="1">
        <v>60</v>
      </c>
      <c r="AD26" s="1">
        <v>66.666666666666671</v>
      </c>
      <c r="AE26" s="1">
        <v>160</v>
      </c>
      <c r="AF26" s="1">
        <v>0</v>
      </c>
      <c r="AG26" s="1">
        <v>3</v>
      </c>
      <c r="AH26" s="1">
        <v>42010.5</v>
      </c>
      <c r="AI26" s="1">
        <v>39030</v>
      </c>
      <c r="AJ26" s="1">
        <v>5200</v>
      </c>
    </row>
    <row r="27" spans="1:36" x14ac:dyDescent="0.35">
      <c r="A27" s="1" t="s">
        <v>26</v>
      </c>
      <c r="B27" s="1">
        <v>0</v>
      </c>
      <c r="C27" s="1">
        <v>21200</v>
      </c>
      <c r="D27" s="1">
        <v>0</v>
      </c>
      <c r="E27" s="1">
        <v>0</v>
      </c>
      <c r="H27" s="1">
        <v>14190</v>
      </c>
      <c r="I27" s="1">
        <v>11677</v>
      </c>
      <c r="J27" s="1">
        <v>463</v>
      </c>
      <c r="K27" s="1">
        <v>164</v>
      </c>
      <c r="L27" s="1">
        <v>9394</v>
      </c>
      <c r="M27" s="3">
        <v>22410</v>
      </c>
      <c r="N27" s="1">
        <v>11420</v>
      </c>
      <c r="O27" s="1">
        <v>5891</v>
      </c>
      <c r="Q27" s="1">
        <v>0</v>
      </c>
      <c r="R27" s="1">
        <v>11000</v>
      </c>
      <c r="S27" s="1">
        <v>44</v>
      </c>
      <c r="T27" s="1">
        <v>274804</v>
      </c>
      <c r="U27" s="4"/>
      <c r="X27" s="1">
        <v>1</v>
      </c>
      <c r="Y27" s="1">
        <v>2080</v>
      </c>
      <c r="Z27" s="1">
        <v>0</v>
      </c>
      <c r="AA27" s="1">
        <v>0</v>
      </c>
      <c r="AB27" s="1">
        <v>0</v>
      </c>
      <c r="AC27" s="1">
        <v>249</v>
      </c>
      <c r="AD27" s="1">
        <v>45.833333333333336</v>
      </c>
      <c r="AE27" s="1">
        <v>0</v>
      </c>
      <c r="AF27" s="1">
        <v>0</v>
      </c>
      <c r="AG27" s="1">
        <v>3</v>
      </c>
      <c r="AH27" s="1">
        <v>21323</v>
      </c>
      <c r="AI27" s="1">
        <v>43388</v>
      </c>
      <c r="AJ27" s="1">
        <v>2080</v>
      </c>
    </row>
    <row r="28" spans="1:36" ht="17.399999999999999" customHeight="1" x14ac:dyDescent="0.35">
      <c r="A28" s="1" t="s">
        <v>27</v>
      </c>
      <c r="B28" s="1">
        <v>50204</v>
      </c>
      <c r="C28" s="1">
        <v>162237</v>
      </c>
      <c r="D28" s="1">
        <v>0</v>
      </c>
      <c r="E28" s="1">
        <v>19875</v>
      </c>
      <c r="H28" s="1">
        <v>205841</v>
      </c>
      <c r="I28" s="1">
        <v>105868</v>
      </c>
      <c r="J28" s="1">
        <v>3861</v>
      </c>
      <c r="K28" s="1">
        <v>1639</v>
      </c>
      <c r="L28" s="1">
        <v>78280</v>
      </c>
      <c r="M28" s="3">
        <v>180000</v>
      </c>
      <c r="N28" s="1">
        <v>95166</v>
      </c>
      <c r="O28" s="1">
        <v>49090</v>
      </c>
      <c r="Q28" s="1">
        <v>72475</v>
      </c>
      <c r="R28" s="1">
        <v>0</v>
      </c>
      <c r="S28" s="1">
        <v>366</v>
      </c>
      <c r="T28" s="1">
        <v>2290034</v>
      </c>
      <c r="U28" s="4"/>
      <c r="X28" s="1">
        <v>0</v>
      </c>
      <c r="Y28" s="1">
        <v>0</v>
      </c>
      <c r="Z28" s="1">
        <v>5</v>
      </c>
      <c r="AA28" s="1">
        <v>10400</v>
      </c>
      <c r="AB28" s="1">
        <v>7</v>
      </c>
      <c r="AC28" s="1">
        <v>0</v>
      </c>
      <c r="AD28" s="1">
        <v>0</v>
      </c>
      <c r="AE28" s="1">
        <v>2000</v>
      </c>
      <c r="AF28" s="1">
        <v>0</v>
      </c>
      <c r="AG28" s="1">
        <v>3</v>
      </c>
      <c r="AH28" s="1">
        <v>149900</v>
      </c>
      <c r="AI28" s="1">
        <v>355085</v>
      </c>
      <c r="AJ28" s="1">
        <v>10400</v>
      </c>
    </row>
    <row r="29" spans="1:36" x14ac:dyDescent="0.35">
      <c r="A29" s="1" t="s">
        <v>28</v>
      </c>
      <c r="B29" s="1">
        <v>0</v>
      </c>
      <c r="C29" s="1">
        <v>113390</v>
      </c>
      <c r="D29" s="1">
        <v>0</v>
      </c>
      <c r="E29" s="1">
        <v>6956</v>
      </c>
      <c r="H29" s="1">
        <v>46269</v>
      </c>
      <c r="I29" s="1">
        <v>34056</v>
      </c>
      <c r="J29" s="1">
        <v>1351</v>
      </c>
      <c r="K29" s="1">
        <v>4428</v>
      </c>
      <c r="L29" s="1">
        <v>50476</v>
      </c>
      <c r="M29" s="3">
        <v>64170</v>
      </c>
      <c r="N29" s="1">
        <v>61802</v>
      </c>
      <c r="O29" s="1">
        <v>17182</v>
      </c>
      <c r="Q29" s="1">
        <v>36237.5</v>
      </c>
      <c r="R29" s="1">
        <v>2000</v>
      </c>
      <c r="S29" s="1">
        <v>128</v>
      </c>
      <c r="T29" s="1">
        <v>801512</v>
      </c>
      <c r="U29" s="4"/>
      <c r="X29" s="1">
        <v>1</v>
      </c>
      <c r="Y29" s="1">
        <v>2080</v>
      </c>
      <c r="Z29" s="1">
        <v>2.5</v>
      </c>
      <c r="AA29" s="1">
        <v>5200</v>
      </c>
      <c r="AB29" s="1">
        <v>7</v>
      </c>
      <c r="AC29" s="1">
        <v>45</v>
      </c>
      <c r="AD29" s="1">
        <f>2000/45</f>
        <v>44.444444444444443</v>
      </c>
      <c r="AE29" s="1">
        <v>668</v>
      </c>
      <c r="AF29" s="1">
        <v>0</v>
      </c>
      <c r="AG29" s="1">
        <v>3</v>
      </c>
      <c r="AH29" s="1">
        <v>163998.5</v>
      </c>
      <c r="AI29" s="1">
        <v>180876</v>
      </c>
      <c r="AJ29" s="1">
        <v>7280</v>
      </c>
    </row>
    <row r="30" spans="1:36" x14ac:dyDescent="0.35">
      <c r="A30" s="1" t="s">
        <v>29</v>
      </c>
      <c r="B30" s="1">
        <v>0</v>
      </c>
      <c r="C30" s="1">
        <v>17300</v>
      </c>
      <c r="D30" s="1">
        <v>0</v>
      </c>
      <c r="E30" s="1">
        <v>0</v>
      </c>
      <c r="H30" s="1">
        <v>3429</v>
      </c>
      <c r="I30" s="1">
        <v>2822</v>
      </c>
      <c r="J30" s="1">
        <v>112</v>
      </c>
      <c r="K30" s="1">
        <v>40</v>
      </c>
      <c r="L30" s="1">
        <v>2270</v>
      </c>
      <c r="M30" s="3">
        <v>4950</v>
      </c>
      <c r="N30" s="1">
        <v>2760</v>
      </c>
      <c r="O30" s="1">
        <v>1424</v>
      </c>
      <c r="Q30" s="1">
        <v>0</v>
      </c>
      <c r="R30" s="1">
        <v>0</v>
      </c>
      <c r="S30" s="1">
        <v>11</v>
      </c>
      <c r="T30" s="1">
        <v>66411</v>
      </c>
      <c r="U30" s="4"/>
      <c r="X30" s="1">
        <v>1</v>
      </c>
      <c r="Y30" s="1">
        <v>2080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55</v>
      </c>
      <c r="AF30" s="1">
        <v>0</v>
      </c>
      <c r="AG30" s="1">
        <v>3</v>
      </c>
      <c r="AH30" s="1">
        <v>19522</v>
      </c>
      <c r="AI30" s="1">
        <v>10020</v>
      </c>
      <c r="AJ30" s="1">
        <v>2080</v>
      </c>
    </row>
    <row r="31" spans="1:36" x14ac:dyDescent="0.35">
      <c r="A31" s="1" t="s">
        <v>30</v>
      </c>
      <c r="B31" s="1">
        <v>15750</v>
      </c>
      <c r="C31" s="1">
        <v>17940</v>
      </c>
      <c r="D31" s="1">
        <v>0</v>
      </c>
      <c r="E31" s="1">
        <v>3005</v>
      </c>
      <c r="H31" s="1">
        <v>11318</v>
      </c>
      <c r="I31" s="1">
        <v>20449</v>
      </c>
      <c r="J31" s="1">
        <v>662</v>
      </c>
      <c r="K31" s="1">
        <v>399</v>
      </c>
      <c r="L31" s="1">
        <v>11321</v>
      </c>
      <c r="M31" s="3">
        <v>29700</v>
      </c>
      <c r="N31" s="1">
        <v>16002</v>
      </c>
      <c r="O31" s="1">
        <v>6256</v>
      </c>
      <c r="Q31" s="1">
        <v>11783</v>
      </c>
      <c r="R31" s="1">
        <v>0</v>
      </c>
      <c r="S31" s="1">
        <v>375</v>
      </c>
      <c r="T31" s="1">
        <v>628671</v>
      </c>
      <c r="U31" s="4"/>
      <c r="X31" s="1">
        <v>1</v>
      </c>
      <c r="Y31" s="1">
        <v>2080</v>
      </c>
      <c r="Z31" s="1">
        <v>1</v>
      </c>
      <c r="AA31" s="1">
        <v>2080</v>
      </c>
      <c r="AB31" s="1">
        <v>6</v>
      </c>
      <c r="AC31" s="1">
        <v>0</v>
      </c>
      <c r="AD31" s="1">
        <v>0</v>
      </c>
      <c r="AE31" s="1">
        <v>330</v>
      </c>
      <c r="AF31" s="1">
        <v>0</v>
      </c>
      <c r="AG31" s="1">
        <v>3</v>
      </c>
      <c r="AH31" s="1">
        <v>43274</v>
      </c>
      <c r="AI31" s="1">
        <v>57422</v>
      </c>
      <c r="AJ31" s="1">
        <v>4160</v>
      </c>
    </row>
    <row r="32" spans="1:36" x14ac:dyDescent="0.35">
      <c r="A32" s="1" t="s">
        <v>64</v>
      </c>
      <c r="B32" s="1">
        <v>0</v>
      </c>
      <c r="C32" s="1">
        <v>75900</v>
      </c>
      <c r="D32" s="1">
        <v>0</v>
      </c>
      <c r="E32" s="1">
        <v>0</v>
      </c>
      <c r="H32" s="1">
        <v>30661</v>
      </c>
      <c r="I32" s="1">
        <v>9245</v>
      </c>
      <c r="J32" s="1">
        <v>367</v>
      </c>
      <c r="K32" s="1">
        <v>130</v>
      </c>
      <c r="L32" s="1">
        <v>7437</v>
      </c>
      <c r="M32" s="3">
        <v>16650</v>
      </c>
      <c r="N32" s="1">
        <v>9041</v>
      </c>
      <c r="O32" s="1">
        <v>4664</v>
      </c>
      <c r="Q32" s="1">
        <v>28990</v>
      </c>
      <c r="R32" s="1">
        <v>0</v>
      </c>
      <c r="S32" s="1">
        <v>35</v>
      </c>
      <c r="T32" s="1">
        <v>217553</v>
      </c>
      <c r="U32" s="4"/>
      <c r="X32" s="1">
        <v>0</v>
      </c>
      <c r="Y32" s="1">
        <v>4160</v>
      </c>
      <c r="Z32" s="1">
        <v>2</v>
      </c>
      <c r="AA32" s="1">
        <v>4160</v>
      </c>
      <c r="AB32" s="1">
        <v>5</v>
      </c>
      <c r="AC32" s="1">
        <v>0</v>
      </c>
      <c r="AD32" s="1">
        <v>0</v>
      </c>
      <c r="AE32" s="1">
        <v>185</v>
      </c>
      <c r="AF32" s="1">
        <v>75</v>
      </c>
      <c r="AG32" s="1">
        <v>3</v>
      </c>
      <c r="AH32" s="1">
        <v>35196</v>
      </c>
      <c r="AI32" s="1">
        <v>33258</v>
      </c>
      <c r="AJ32" s="1">
        <v>8320</v>
      </c>
    </row>
    <row r="33" spans="1:36" x14ac:dyDescent="0.35">
      <c r="A33" s="1" t="s">
        <v>65</v>
      </c>
      <c r="B33" s="1">
        <v>0</v>
      </c>
      <c r="C33" s="1">
        <v>550520</v>
      </c>
      <c r="D33" s="1">
        <v>0</v>
      </c>
      <c r="E33" s="1">
        <v>21600</v>
      </c>
      <c r="H33" s="1">
        <v>141242</v>
      </c>
      <c r="I33" s="1">
        <v>100810</v>
      </c>
      <c r="J33" s="1">
        <v>4000</v>
      </c>
      <c r="K33" s="1">
        <v>1418</v>
      </c>
      <c r="L33" s="1">
        <v>81098</v>
      </c>
      <c r="M33" s="3">
        <v>189180</v>
      </c>
      <c r="N33" s="1">
        <v>98592</v>
      </c>
      <c r="O33" s="1">
        <v>50857</v>
      </c>
      <c r="Q33" s="1">
        <v>72475</v>
      </c>
      <c r="R33" s="1">
        <v>106920</v>
      </c>
      <c r="S33" s="1">
        <v>379</v>
      </c>
      <c r="T33" s="1">
        <v>2372475</v>
      </c>
      <c r="U33" s="4"/>
      <c r="X33" s="1">
        <v>0</v>
      </c>
      <c r="Y33" s="1">
        <v>0</v>
      </c>
      <c r="Z33" s="1">
        <v>5</v>
      </c>
      <c r="AA33" s="1">
        <v>10400</v>
      </c>
      <c r="AB33" s="1">
        <v>7</v>
      </c>
      <c r="AC33" s="1">
        <v>1485</v>
      </c>
      <c r="AD33" s="1">
        <f>106920/1485</f>
        <v>72</v>
      </c>
      <c r="AE33" s="1">
        <v>617</v>
      </c>
      <c r="AF33" s="1">
        <v>0</v>
      </c>
      <c r="AG33" s="1">
        <v>3</v>
      </c>
      <c r="AH33" s="1">
        <v>465725</v>
      </c>
      <c r="AI33" s="1">
        <v>370288</v>
      </c>
      <c r="AJ33" s="1">
        <v>10400</v>
      </c>
    </row>
    <row r="34" spans="1:36" x14ac:dyDescent="0.35">
      <c r="A34" s="1" t="s">
        <v>78</v>
      </c>
      <c r="B34" s="1">
        <v>0</v>
      </c>
      <c r="C34" s="1">
        <v>75700</v>
      </c>
      <c r="D34" s="1">
        <v>16500</v>
      </c>
      <c r="E34" s="1">
        <v>0</v>
      </c>
      <c r="H34" s="1">
        <v>18196</v>
      </c>
      <c r="I34" s="1">
        <v>18001</v>
      </c>
      <c r="J34" s="1">
        <v>714</v>
      </c>
      <c r="K34" s="1">
        <v>253</v>
      </c>
      <c r="L34" s="1">
        <v>14482</v>
      </c>
      <c r="M34" s="3">
        <v>33300</v>
      </c>
      <c r="N34" s="1">
        <v>17606</v>
      </c>
      <c r="O34" s="1">
        <v>9082</v>
      </c>
      <c r="Q34" s="1">
        <v>14495</v>
      </c>
      <c r="R34" s="1">
        <v>25000</v>
      </c>
      <c r="S34" s="1">
        <v>68</v>
      </c>
      <c r="T34" s="1">
        <v>423656</v>
      </c>
      <c r="U34" s="4"/>
      <c r="X34" s="1">
        <v>0.5</v>
      </c>
      <c r="Y34" s="1">
        <v>1040</v>
      </c>
      <c r="Z34" s="1">
        <v>1</v>
      </c>
      <c r="AA34" s="1">
        <v>2080</v>
      </c>
      <c r="AB34" s="1">
        <v>7</v>
      </c>
      <c r="AC34" s="1">
        <v>370</v>
      </c>
      <c r="AD34" s="1">
        <v>68</v>
      </c>
      <c r="AE34" s="1">
        <v>0</v>
      </c>
      <c r="AF34" s="1">
        <v>0</v>
      </c>
      <c r="AG34" s="1">
        <v>3</v>
      </c>
      <c r="AH34" s="1">
        <v>72285</v>
      </c>
      <c r="AI34" s="1">
        <v>65641</v>
      </c>
      <c r="AJ34" s="1">
        <v>3120</v>
      </c>
    </row>
    <row r="35" spans="1:36" x14ac:dyDescent="0.35">
      <c r="A35" s="1" t="s">
        <v>66</v>
      </c>
      <c r="B35" s="1">
        <v>0</v>
      </c>
      <c r="C35" s="1">
        <v>45800</v>
      </c>
      <c r="D35" s="1">
        <v>0</v>
      </c>
      <c r="E35" s="1">
        <v>0</v>
      </c>
      <c r="H35" s="1">
        <v>20142</v>
      </c>
      <c r="I35" s="1">
        <v>15381</v>
      </c>
      <c r="J35" s="1">
        <v>637</v>
      </c>
      <c r="K35" s="1">
        <v>226</v>
      </c>
      <c r="L35" s="1">
        <v>12916</v>
      </c>
      <c r="M35" s="3">
        <v>31500</v>
      </c>
      <c r="N35" s="1">
        <v>15465</v>
      </c>
      <c r="O35" s="1">
        <v>8100</v>
      </c>
      <c r="Q35" s="1">
        <v>0</v>
      </c>
      <c r="R35" s="1">
        <v>0</v>
      </c>
      <c r="S35" s="1">
        <v>60</v>
      </c>
      <c r="T35" s="1">
        <v>377856</v>
      </c>
      <c r="U35" s="4"/>
      <c r="X35" s="1">
        <v>2</v>
      </c>
      <c r="Y35" s="1">
        <v>4160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350</v>
      </c>
      <c r="AF35" s="1">
        <v>0</v>
      </c>
      <c r="AG35" s="1">
        <v>3</v>
      </c>
      <c r="AH35" s="1">
        <v>61587</v>
      </c>
      <c r="AI35" s="1">
        <v>60107</v>
      </c>
      <c r="AJ35" s="1">
        <v>4160</v>
      </c>
    </row>
    <row r="36" spans="1:36" x14ac:dyDescent="0.35">
      <c r="A36" s="1" t="s">
        <v>67</v>
      </c>
      <c r="B36" s="1">
        <v>0</v>
      </c>
      <c r="C36" s="1">
        <v>42250</v>
      </c>
      <c r="D36" s="1">
        <v>0</v>
      </c>
      <c r="E36" s="1">
        <v>0</v>
      </c>
      <c r="H36" s="1">
        <v>17007</v>
      </c>
      <c r="I36" s="1">
        <v>17396</v>
      </c>
      <c r="J36" s="1">
        <v>736</v>
      </c>
      <c r="K36" s="1">
        <v>0</v>
      </c>
      <c r="L36" s="1">
        <v>14000</v>
      </c>
      <c r="M36" s="3">
        <v>34290</v>
      </c>
      <c r="N36" s="1">
        <v>19000</v>
      </c>
      <c r="O36" s="1">
        <v>9352</v>
      </c>
      <c r="Q36" s="1">
        <v>14495</v>
      </c>
      <c r="R36" s="1">
        <v>0</v>
      </c>
      <c r="S36" s="1">
        <v>70</v>
      </c>
      <c r="T36" s="1">
        <v>436251</v>
      </c>
      <c r="U36" s="4"/>
      <c r="X36" s="1">
        <v>1</v>
      </c>
      <c r="Y36" s="1">
        <v>2080</v>
      </c>
      <c r="Z36" s="1">
        <v>1</v>
      </c>
      <c r="AA36" s="1">
        <v>2080</v>
      </c>
      <c r="AB36" s="1">
        <v>7</v>
      </c>
      <c r="AC36" s="1">
        <v>0</v>
      </c>
      <c r="AD36" s="1">
        <v>0</v>
      </c>
      <c r="AE36" s="1">
        <v>381</v>
      </c>
      <c r="AF36" s="1">
        <v>0</v>
      </c>
      <c r="AG36" s="1">
        <v>3</v>
      </c>
      <c r="AH36" s="1">
        <v>50484</v>
      </c>
      <c r="AI36" s="1">
        <v>67290</v>
      </c>
      <c r="AJ36" s="1">
        <v>4160</v>
      </c>
    </row>
    <row r="37" spans="1:36" x14ac:dyDescent="0.35">
      <c r="A37" s="1" t="s">
        <v>70</v>
      </c>
      <c r="B37" s="1">
        <v>0</v>
      </c>
      <c r="C37" s="1">
        <v>159400</v>
      </c>
      <c r="D37" s="1">
        <v>0</v>
      </c>
      <c r="E37" s="1">
        <v>21600</v>
      </c>
      <c r="H37" s="1">
        <v>48252</v>
      </c>
      <c r="I37" s="1">
        <v>35515</v>
      </c>
      <c r="J37" s="1">
        <v>1409</v>
      </c>
      <c r="K37" s="1">
        <v>500</v>
      </c>
      <c r="L37" s="1">
        <v>28572</v>
      </c>
      <c r="M37" s="3">
        <v>65700</v>
      </c>
      <c r="N37" s="1">
        <v>34736</v>
      </c>
      <c r="O37" s="1">
        <v>17918</v>
      </c>
      <c r="Q37" s="1">
        <v>72475</v>
      </c>
      <c r="R37" s="1">
        <v>0</v>
      </c>
      <c r="S37" s="1">
        <v>134</v>
      </c>
      <c r="T37" s="1">
        <v>835862</v>
      </c>
      <c r="U37" s="4"/>
      <c r="X37" s="1">
        <v>2</v>
      </c>
      <c r="Y37" s="1">
        <v>4160</v>
      </c>
      <c r="Z37" s="1">
        <v>3</v>
      </c>
      <c r="AA37" s="1">
        <v>6240</v>
      </c>
      <c r="AB37" s="1">
        <v>7</v>
      </c>
      <c r="AC37" s="1">
        <v>0</v>
      </c>
      <c r="AD37" s="1">
        <v>0</v>
      </c>
      <c r="AE37" s="1">
        <v>730</v>
      </c>
      <c r="AF37" s="1">
        <v>0</v>
      </c>
      <c r="AG37" s="1">
        <v>3</v>
      </c>
      <c r="AH37" s="1">
        <v>134805</v>
      </c>
      <c r="AI37" s="1">
        <v>129508</v>
      </c>
      <c r="AJ37" s="1">
        <v>10400</v>
      </c>
    </row>
    <row r="38" spans="1:36" x14ac:dyDescent="0.35">
      <c r="A38" s="1" t="s">
        <v>71</v>
      </c>
      <c r="B38" s="1">
        <v>0</v>
      </c>
      <c r="C38" s="1">
        <v>49950</v>
      </c>
      <c r="D38" s="1">
        <v>0</v>
      </c>
      <c r="E38" s="1">
        <v>0</v>
      </c>
      <c r="H38" s="1">
        <v>32133</v>
      </c>
      <c r="I38" s="1">
        <v>9245</v>
      </c>
      <c r="J38" s="1">
        <v>367</v>
      </c>
      <c r="K38" s="1">
        <v>130</v>
      </c>
      <c r="L38" s="1">
        <v>7437</v>
      </c>
      <c r="M38" s="3">
        <v>17100</v>
      </c>
      <c r="N38" s="1">
        <v>8904</v>
      </c>
      <c r="O38" s="1">
        <v>4664</v>
      </c>
      <c r="Q38" s="1">
        <v>14495</v>
      </c>
      <c r="R38" s="1">
        <v>7200</v>
      </c>
      <c r="S38" s="1">
        <v>35</v>
      </c>
      <c r="T38" s="1">
        <v>217553</v>
      </c>
      <c r="U38" s="4"/>
      <c r="X38" s="1">
        <v>0</v>
      </c>
      <c r="Y38" s="1">
        <v>0</v>
      </c>
      <c r="Z38" s="1">
        <v>1</v>
      </c>
      <c r="AA38" s="1">
        <v>2080</v>
      </c>
      <c r="AB38" s="1">
        <v>7</v>
      </c>
      <c r="AC38" s="1">
        <v>120</v>
      </c>
      <c r="AD38" s="1">
        <f>7200/AC38</f>
        <v>60</v>
      </c>
      <c r="AE38" s="1">
        <v>70</v>
      </c>
      <c r="AF38" s="1">
        <v>0</v>
      </c>
      <c r="AG38" s="1">
        <v>3</v>
      </c>
      <c r="AH38" s="1">
        <v>15382</v>
      </c>
      <c r="AI38" s="1">
        <v>33571</v>
      </c>
      <c r="AJ38" s="1">
        <v>2080</v>
      </c>
    </row>
    <row r="39" spans="1:36" x14ac:dyDescent="0.35">
      <c r="A39" s="1" t="s">
        <v>72</v>
      </c>
      <c r="B39" s="1">
        <v>0</v>
      </c>
      <c r="C39" s="1">
        <v>71000</v>
      </c>
      <c r="D39" s="1">
        <v>0</v>
      </c>
      <c r="E39" s="1">
        <v>20000</v>
      </c>
      <c r="H39" s="1">
        <v>47667</v>
      </c>
      <c r="I39" s="1">
        <v>21066</v>
      </c>
      <c r="J39" s="1">
        <v>736</v>
      </c>
      <c r="K39" s="1">
        <v>296</v>
      </c>
      <c r="L39" s="1">
        <v>16948</v>
      </c>
      <c r="M39" s="3">
        <v>38970</v>
      </c>
      <c r="N39" s="1">
        <v>20603</v>
      </c>
      <c r="O39" s="1">
        <v>10869</v>
      </c>
      <c r="Q39" s="1">
        <v>21742.5</v>
      </c>
      <c r="R39" s="1">
        <v>0</v>
      </c>
      <c r="S39" s="1">
        <v>79</v>
      </c>
      <c r="T39" s="1">
        <v>495792</v>
      </c>
      <c r="U39" s="4"/>
      <c r="X39" s="1">
        <v>0</v>
      </c>
      <c r="Y39" s="1">
        <v>0</v>
      </c>
      <c r="Z39" s="1">
        <v>1</v>
      </c>
      <c r="AA39" s="1">
        <v>2080</v>
      </c>
      <c r="AB39" s="1">
        <v>7</v>
      </c>
      <c r="AC39" s="1">
        <v>0</v>
      </c>
      <c r="AD39" s="1">
        <v>0</v>
      </c>
      <c r="AE39" s="1">
        <v>433</v>
      </c>
      <c r="AF39" s="1">
        <v>0</v>
      </c>
      <c r="AG39" s="1">
        <v>3</v>
      </c>
      <c r="AH39" s="1">
        <v>65657.5</v>
      </c>
      <c r="AI39" s="1">
        <v>76817</v>
      </c>
      <c r="AJ39" s="1">
        <v>2080</v>
      </c>
    </row>
    <row r="40" spans="1:36" x14ac:dyDescent="0.35">
      <c r="A40" s="1" t="s">
        <v>73</v>
      </c>
      <c r="B40" s="1">
        <v>0</v>
      </c>
      <c r="C40" s="1">
        <v>35000</v>
      </c>
      <c r="D40" s="1">
        <v>0</v>
      </c>
      <c r="E40" s="1">
        <v>35000</v>
      </c>
      <c r="H40" s="1">
        <v>21151</v>
      </c>
      <c r="I40" s="1">
        <v>16326</v>
      </c>
      <c r="J40" s="1">
        <v>736</v>
      </c>
      <c r="K40" s="1">
        <v>219</v>
      </c>
      <c r="L40" s="1">
        <v>12525</v>
      </c>
      <c r="M40" s="3">
        <v>28800</v>
      </c>
      <c r="N40" s="1">
        <v>15227</v>
      </c>
      <c r="O40" s="1">
        <v>7854</v>
      </c>
      <c r="Q40" s="1">
        <v>28990</v>
      </c>
      <c r="R40" s="1">
        <v>0</v>
      </c>
      <c r="S40" s="1">
        <v>59</v>
      </c>
      <c r="T40" s="1">
        <v>366405</v>
      </c>
      <c r="U40" s="4"/>
      <c r="X40" s="1">
        <v>0</v>
      </c>
      <c r="Y40" s="1">
        <v>0</v>
      </c>
      <c r="Z40" s="1">
        <v>2</v>
      </c>
      <c r="AA40" s="1">
        <v>4160</v>
      </c>
      <c r="AB40" s="1">
        <v>14</v>
      </c>
      <c r="AC40" s="1">
        <v>0</v>
      </c>
      <c r="AD40" s="1">
        <v>0</v>
      </c>
      <c r="AE40" s="1">
        <v>320</v>
      </c>
      <c r="AF40" s="1">
        <v>0</v>
      </c>
      <c r="AG40" s="1">
        <v>3</v>
      </c>
      <c r="AH40" s="1">
        <v>51655</v>
      </c>
      <c r="AI40" s="1">
        <v>56771</v>
      </c>
      <c r="AJ40" s="1">
        <v>4160</v>
      </c>
    </row>
    <row r="41" spans="1:36" x14ac:dyDescent="0.35">
      <c r="A41" s="1" t="s">
        <v>74</v>
      </c>
      <c r="B41" s="1">
        <v>0</v>
      </c>
      <c r="C41" s="1">
        <v>91800</v>
      </c>
      <c r="D41" s="1">
        <v>0</v>
      </c>
      <c r="E41" s="1">
        <v>367200</v>
      </c>
      <c r="H41" s="1">
        <v>119067</v>
      </c>
      <c r="I41" s="1">
        <v>87576</v>
      </c>
      <c r="J41" s="1">
        <v>3475</v>
      </c>
      <c r="K41" s="1">
        <v>1232</v>
      </c>
      <c r="L41" s="1">
        <v>70452</v>
      </c>
      <c r="M41" s="3">
        <v>162000</v>
      </c>
      <c r="N41" s="1">
        <v>85649</v>
      </c>
      <c r="O41" s="1">
        <v>44181</v>
      </c>
      <c r="Q41" s="1">
        <v>72475</v>
      </c>
      <c r="R41" s="1">
        <v>0</v>
      </c>
      <c r="S41" s="1">
        <v>70</v>
      </c>
      <c r="T41" s="1">
        <v>2061030</v>
      </c>
      <c r="U41" s="4"/>
      <c r="X41" s="1">
        <v>0</v>
      </c>
      <c r="Y41" s="1">
        <v>0</v>
      </c>
      <c r="Z41" s="1">
        <v>5</v>
      </c>
      <c r="AA41" s="1">
        <v>10400</v>
      </c>
      <c r="AB41" s="1">
        <v>7</v>
      </c>
      <c r="AC41" s="1">
        <v>0</v>
      </c>
      <c r="AD41" s="1">
        <v>0</v>
      </c>
      <c r="AE41" s="1">
        <v>1800</v>
      </c>
      <c r="AF41" s="1">
        <v>0</v>
      </c>
      <c r="AG41" s="1">
        <v>3</v>
      </c>
      <c r="AH41" s="1">
        <v>451489</v>
      </c>
      <c r="AI41" s="1">
        <v>319333</v>
      </c>
      <c r="AJ41" s="1">
        <v>10400</v>
      </c>
    </row>
    <row r="42" spans="1:36" x14ac:dyDescent="0.35">
      <c r="A42" s="1" t="s">
        <v>75</v>
      </c>
      <c r="B42" s="1">
        <v>0</v>
      </c>
      <c r="C42" s="1">
        <v>21000</v>
      </c>
      <c r="D42" s="1">
        <v>0</v>
      </c>
      <c r="E42" s="1">
        <v>0</v>
      </c>
      <c r="H42" s="1">
        <v>8868</v>
      </c>
      <c r="I42" s="1">
        <v>7297</v>
      </c>
      <c r="J42" s="1">
        <v>290</v>
      </c>
      <c r="K42" s="1">
        <v>103</v>
      </c>
      <c r="L42" s="1">
        <v>5871</v>
      </c>
      <c r="M42" s="3">
        <v>13500</v>
      </c>
      <c r="N42" s="1">
        <v>7713</v>
      </c>
      <c r="O42" s="1">
        <v>3682</v>
      </c>
      <c r="Q42" s="1">
        <v>7247.5</v>
      </c>
      <c r="R42" s="1">
        <v>1746</v>
      </c>
      <c r="S42" s="1">
        <v>27</v>
      </c>
      <c r="T42" s="1">
        <v>171753</v>
      </c>
      <c r="U42" s="4"/>
      <c r="X42" s="1">
        <v>0</v>
      </c>
      <c r="Y42" s="1">
        <v>0</v>
      </c>
      <c r="Z42" s="1">
        <v>0.5</v>
      </c>
      <c r="AA42" s="1">
        <v>1040</v>
      </c>
      <c r="AB42" s="1">
        <v>7</v>
      </c>
      <c r="AC42" s="1">
        <v>150</v>
      </c>
      <c r="AD42" s="1">
        <f>17000/150</f>
        <v>113.33333333333333</v>
      </c>
      <c r="AE42" s="1">
        <v>0</v>
      </c>
      <c r="AF42" s="1">
        <v>0</v>
      </c>
      <c r="AG42" s="1">
        <v>3</v>
      </c>
      <c r="AH42" s="1">
        <v>19029.5</v>
      </c>
      <c r="AI42" s="1">
        <v>27187</v>
      </c>
      <c r="AJ42" s="1">
        <v>1040</v>
      </c>
    </row>
    <row r="43" spans="1:36" x14ac:dyDescent="0.35">
      <c r="A43" s="1" t="s">
        <v>76</v>
      </c>
      <c r="B43" s="1">
        <v>0</v>
      </c>
      <c r="C43" s="1">
        <v>130780</v>
      </c>
      <c r="D43" s="1">
        <v>0</v>
      </c>
      <c r="E43" s="1">
        <v>0</v>
      </c>
      <c r="H43" s="1">
        <v>46777</v>
      </c>
      <c r="I43" s="1">
        <v>18050</v>
      </c>
      <c r="J43" s="1">
        <v>716</v>
      </c>
      <c r="K43" s="1">
        <v>254</v>
      </c>
      <c r="L43" s="1">
        <v>14521</v>
      </c>
      <c r="M43" s="3">
        <v>32040</v>
      </c>
      <c r="N43" s="1">
        <v>17653</v>
      </c>
      <c r="O43" s="1">
        <v>9106</v>
      </c>
      <c r="Q43" s="1">
        <v>43485</v>
      </c>
      <c r="R43" s="1">
        <v>0</v>
      </c>
      <c r="S43" s="1">
        <v>68</v>
      </c>
      <c r="T43" s="1">
        <v>424801</v>
      </c>
      <c r="U43" s="4"/>
      <c r="X43" s="1">
        <v>0</v>
      </c>
      <c r="Y43" s="1">
        <v>0</v>
      </c>
      <c r="Z43" s="1">
        <v>3</v>
      </c>
      <c r="AA43" s="1">
        <v>6240</v>
      </c>
      <c r="AB43" s="1">
        <v>7</v>
      </c>
      <c r="AC43" s="1">
        <v>0</v>
      </c>
      <c r="AD43" s="1">
        <v>0</v>
      </c>
      <c r="AE43" s="1">
        <v>356</v>
      </c>
      <c r="AF43" s="1">
        <v>0</v>
      </c>
      <c r="AG43" s="1">
        <v>3</v>
      </c>
      <c r="AH43" s="1">
        <v>77046</v>
      </c>
      <c r="AI43" s="1">
        <v>64468</v>
      </c>
      <c r="AJ43" s="1">
        <v>6240</v>
      </c>
    </row>
    <row r="44" spans="1:36" x14ac:dyDescent="0.35">
      <c r="A44" s="1" t="s">
        <v>77</v>
      </c>
      <c r="B44" s="1">
        <v>0</v>
      </c>
      <c r="C44" s="1">
        <v>84000</v>
      </c>
      <c r="D44" s="1">
        <v>0</v>
      </c>
      <c r="E44" s="1">
        <v>0</v>
      </c>
      <c r="H44" s="1">
        <v>33048</v>
      </c>
      <c r="I44" s="1">
        <v>24326</v>
      </c>
      <c r="J44" s="1">
        <v>965</v>
      </c>
      <c r="K44" s="1">
        <v>342</v>
      </c>
      <c r="L44" s="1">
        <v>19570</v>
      </c>
      <c r="M44" s="3">
        <v>45000</v>
      </c>
      <c r="N44" s="1">
        <v>23791</v>
      </c>
      <c r="O44" s="1">
        <v>12273</v>
      </c>
      <c r="Q44" s="1">
        <v>14495</v>
      </c>
      <c r="R44" s="1">
        <v>0</v>
      </c>
      <c r="S44" s="1">
        <v>91</v>
      </c>
      <c r="T44" s="1">
        <v>572508</v>
      </c>
      <c r="U44" s="4"/>
      <c r="X44" s="1">
        <v>0</v>
      </c>
      <c r="Y44" s="1">
        <v>0</v>
      </c>
      <c r="Z44" s="1">
        <v>1</v>
      </c>
      <c r="AA44" s="1">
        <v>2080</v>
      </c>
      <c r="AB44" s="1">
        <v>7</v>
      </c>
      <c r="AC44" s="1">
        <v>0</v>
      </c>
      <c r="AD44" s="1">
        <v>0</v>
      </c>
      <c r="AE44" s="1">
        <v>500</v>
      </c>
      <c r="AF44" s="1">
        <v>0</v>
      </c>
      <c r="AG44" s="1">
        <v>3</v>
      </c>
      <c r="AH44" s="1">
        <v>87505</v>
      </c>
      <c r="AI44" s="1">
        <v>88703</v>
      </c>
      <c r="AJ44" s="1">
        <v>2080</v>
      </c>
    </row>
  </sheetData>
  <autoFilter ref="A1:AI36" xr:uid="{560EBA69-FF35-4FC3-AC06-879E740BCD08}">
    <sortState xmlns:xlrd2="http://schemas.microsoft.com/office/spreadsheetml/2017/richdata2" ref="A2:AI44">
      <sortCondition ref="A1:A36"/>
    </sortState>
  </autoFilter>
  <phoneticPr fontId="6" type="noConversion"/>
  <pageMargins left="0.7" right="0.7" top="0.75" bottom="0.75" header="0.3" footer="0.3"/>
  <pageSetup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Accatino</dc:creator>
  <cp:lastModifiedBy>Giacomo Ravaioli</cp:lastModifiedBy>
  <dcterms:created xsi:type="dcterms:W3CDTF">2019-05-31T16:03:25Z</dcterms:created>
  <dcterms:modified xsi:type="dcterms:W3CDTF">2020-06-05T09:42:05Z</dcterms:modified>
</cp:coreProperties>
</file>